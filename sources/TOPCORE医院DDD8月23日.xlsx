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720" activeTab="1"/>
  </bookViews>
  <sheets>
    <sheet name="top&amp;core医院DDD" sheetId="1" r:id="rId1"/>
    <sheet name="top&amp;core医院客户DDD" sheetId="2" r:id="rId2"/>
  </sheets>
  <definedNames>
    <definedName name="_xlnm._FilterDatabase" localSheetId="0" hidden="1">'top&amp;core医院DDD'!$A$2:$AU$32</definedName>
    <definedName name="_xlnm._FilterDatabase" localSheetId="1" hidden="1">'top&amp;core医院客户DDD'!$A$3:$Z$542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<sst xmlns="http://schemas.openxmlformats.org/spreadsheetml/2006/main" count="8528" uniqueCount="1770">
  <si>
    <r>
      <rPr>
        <b/>
        <sz val="11"/>
        <color rgb="FF92D050"/>
        <rFont val="宋体"/>
        <charset val="134"/>
      </rPr>
      <t xml:space="preserve">疼痛试点医院
</t>
    </r>
    <r>
      <rPr>
        <b/>
        <sz val="11"/>
        <color rgb="FFFFC000"/>
        <rFont val="宋体"/>
        <charset val="134"/>
      </rPr>
      <t>焦虑医院试点医院</t>
    </r>
  </si>
  <si>
    <t>与瞄准镜保持一致</t>
  </si>
  <si>
    <t>注意合规表述</t>
  </si>
  <si>
    <t>医院</t>
  </si>
  <si>
    <t>医院级别</t>
  </si>
  <si>
    <t>DM</t>
  </si>
  <si>
    <t>MICS</t>
  </si>
  <si>
    <t>准入标签</t>
  </si>
  <si>
    <t>是否有进货金额限制</t>
  </si>
  <si>
    <t>限制金额</t>
  </si>
  <si>
    <t>院内渠道开放情况</t>
  </si>
  <si>
    <t>3月tth预估实际</t>
  </si>
  <si>
    <t>4月tth预估实际</t>
  </si>
  <si>
    <t>5月tth预估实际</t>
  </si>
  <si>
    <t>6月tth预估实际</t>
  </si>
  <si>
    <t>7月tth预估实际</t>
  </si>
  <si>
    <t>8月tth预估实际</t>
  </si>
  <si>
    <t>梯队标签</t>
  </si>
  <si>
    <t>月销量变化</t>
  </si>
  <si>
    <t>头痛门诊/周</t>
  </si>
  <si>
    <t>头痛客户数</t>
  </si>
  <si>
    <t>眩晕门诊/周</t>
  </si>
  <si>
    <t>眩晕门诊客户数</t>
  </si>
  <si>
    <t>标签客户数</t>
  </si>
  <si>
    <t>目标活跃客户数</t>
  </si>
  <si>
    <t>活跃客户数</t>
  </si>
  <si>
    <t>A客户</t>
  </si>
  <si>
    <t>B客户</t>
  </si>
  <si>
    <t>C客户</t>
  </si>
  <si>
    <t>D客户</t>
  </si>
  <si>
    <t>A客户贡献占比</t>
  </si>
  <si>
    <t>B客户贡献占比</t>
  </si>
  <si>
    <t>C客户贡献占比</t>
  </si>
  <si>
    <t>D客户贡献占比</t>
  </si>
  <si>
    <t>阶梯治疗</t>
  </si>
  <si>
    <t>止痛优选</t>
  </si>
  <si>
    <t>短期治痛</t>
  </si>
  <si>
    <t>治痛管理</t>
  </si>
  <si>
    <t>资深治痛管理</t>
  </si>
  <si>
    <t>治痛管理大师</t>
  </si>
  <si>
    <t>Q4目标月均梯队医院</t>
  </si>
  <si>
    <t>9月TTH目标</t>
  </si>
  <si>
    <t>目标A客户贡献预估</t>
  </si>
  <si>
    <t>目标B客户贡献预估</t>
  </si>
  <si>
    <t>目标C客户贡献预估</t>
  </si>
  <si>
    <t>目标D客户贡献预估</t>
  </si>
  <si>
    <t>洞察诊断</t>
  </si>
  <si>
    <t>策略</t>
  </si>
  <si>
    <t>针对各策略下客户增长及增长机会的具体行动计划</t>
  </si>
  <si>
    <t>所需需求&amp;支持</t>
  </si>
  <si>
    <t>江苏省人民医院</t>
  </si>
  <si>
    <t>TOP</t>
  </si>
  <si>
    <t>孟鈃</t>
  </si>
  <si>
    <t>王方方/芦晓辉</t>
  </si>
  <si>
    <t>his直连药店</t>
  </si>
  <si>
    <t>不适用</t>
  </si>
  <si>
    <t>1000+</t>
  </si>
  <si>
    <t>1500+</t>
  </si>
  <si>
    <t>1、超代客户不稳定
2、客户面拓展需扩大</t>
  </si>
  <si>
    <t>1、超代客户通过系列会议和学科培养稳定产出
2、分科室全面拓展，开发新客户</t>
  </si>
  <si>
    <t>1. 针对存量超代客户，通过靶握周三会议与分层管理，保障业绩持续稳定产出。
2. 针对增量市场，落实分科室全域拓展策略，开发新客户，实现客户规模与整体业务增量突破。</t>
  </si>
  <si>
    <t>靶握周三会议、头痛病例集</t>
  </si>
  <si>
    <t>苏州大学附属第一医院</t>
  </si>
  <si>
    <t>何方禹</t>
  </si>
  <si>
    <t>张桂香/陈利丰</t>
  </si>
  <si>
    <t>未准入</t>
  </si>
  <si>
    <t>1、TTH预估高度集中（赵&amp;王），4+4客户不足;
2、B类客户诊断率低和推荐率低，无法推动正反馈持续使用经验；
3、C类客户诊断率低，对于VM认知不足，需快速突破。</t>
  </si>
  <si>
    <t>深做AC
快拓BD</t>
  </si>
  <si>
    <t>1、深做AC，A类客户：赵hr（治痛管理大师）持续提升；张qq（目标：治痛管理）提升推荐率和DOT，做好患者随访提升复购率，C类客户：王dp（治痛管理大师）做好患者随访提升复购率；于亚峰（目标：治痛管理）提升诊断率在VM和p-VM的患者上推荐使用，DOT3-6月的治疗周期，小C潘晨（目标：止痛优选）&amp;陶朵朵（目标：止痛优选）&amp;郭燕（目标：止痛优选）提升诊断率和推荐率。
2、快拓B类客户：高潜力痛晕客户，实现止痛优选（薛sr、陈zg、王h、段xy、倪jq、高hq），持续推动提升诊断率和DOT;
3、同步拓展神外：头痛潜力客户：陈zq（目标：止痛优选）</t>
  </si>
  <si>
    <t xml:space="preserve">1、平台与讲者：标杆医生区域讲者机会，学术会议搭建
2、跨科联动：神内头痛中心-耳鼻喉眩晕-疼痛科多学科联动活动
3、准入与渠道：推动进院/临时采购或外配流转，打通处方最后一公里；
</t>
  </si>
  <si>
    <t>南京鼓楼医院</t>
  </si>
  <si>
    <t>罗世懿/李雪茹</t>
  </si>
  <si>
    <t>正式准入</t>
  </si>
  <si>
    <t>否</t>
  </si>
  <si>
    <t>仅限神经内科</t>
  </si>
  <si>
    <t>2000+</t>
  </si>
  <si>
    <t>大A承担大部分产出，
其余断层严重；B和C客户薄弱；D正在崛起</t>
  </si>
  <si>
    <t>建立以大A为核心的mdt
多学科头痛团队，院内资源合理化分配和利用；使得头痛患者在任何科室都不流失</t>
  </si>
  <si>
    <t>1.头痛中心建立后的质控建设；
2以清秀主任为核心的三方会交流、以孟老师为核心的mdtLB交流团结中青年；3.多学科互相流通；4.江北转诊机制</t>
  </si>
  <si>
    <t>清秀主任全国平台打造</t>
  </si>
  <si>
    <r>
      <rPr>
        <sz val="10"/>
        <color rgb="FFFFC000"/>
        <rFont val="宋体"/>
        <charset val="134"/>
      </rPr>
      <t>山东第一医科大学</t>
    </r>
    <r>
      <rPr>
        <sz val="10"/>
        <color rgb="FF92D050"/>
        <rFont val="宋体"/>
        <charset val="134"/>
      </rPr>
      <t>附属省立医院</t>
    </r>
  </si>
  <si>
    <t>李路</t>
  </si>
  <si>
    <t>王明月/白云松</t>
  </si>
  <si>
    <t>仅限门诊处方，病房未开通</t>
  </si>
  <si>
    <t>1、新A新增头痛门诊患者归拢率低；
2、B转A，观念进展缓慢；
3、C、D客户观念升级缓慢。</t>
  </si>
  <si>
    <t>1、通过头痛小站、GD提升患者归拢率；
2、积累正反馈病例，创造分享机会；
3、通过讲师团强化观念，MDT会议加强融动。</t>
  </si>
  <si>
    <t>1、新A强化患者归拢与管理，每月1场相关会议覆盖；
2、B转A，客户每月一场病例主题会议，讨论或分享；
3、覆盖陈G,赵XN,每季度1-2场升级治晕治痛观念。</t>
  </si>
  <si>
    <t>每月1-2场省立牵头三方会议资源支持</t>
  </si>
  <si>
    <t>苏州大学附属第二医院</t>
  </si>
  <si>
    <t>卢星翰</t>
  </si>
  <si>
    <t>是</t>
  </si>
  <si>
    <t>18w/月</t>
  </si>
  <si>
    <t>仅神经内科&amp;耳鼻喉科有权限处方</t>
  </si>
  <si>
    <t>500+</t>
  </si>
  <si>
    <t>院内单次处方限制及药占比影响
C类客户面较少
A类客户专家门诊虹吸效应不足且存在竞品在院内</t>
  </si>
  <si>
    <t>院外药店引流减少药占比影响
拓展C类客户面
A类客户持续深挖，提高处方率</t>
  </si>
  <si>
    <t>院外引流延长DOT减少限量影响
协助完成偏头痛VM相关研究
PSR每月定期复盘，共识目标，解决需求
大型学术会议覆盖，提高科室头痛头晕知名度</t>
  </si>
  <si>
    <t>医学部协助研究
外部大型会议授课/主持提高头痛头晕知名度
PO、三方覆盖
省级学会活动参与任职</t>
  </si>
  <si>
    <t>青岛市市立医院</t>
  </si>
  <si>
    <t>CORE</t>
  </si>
  <si>
    <t>张鑫</t>
  </si>
  <si>
    <t>李明晖</t>
  </si>
  <si>
    <t>300+</t>
  </si>
  <si>
    <t>1.专诊打造不足，增加头痛/眩晕专诊量，归拢患者
2.提升足量足疗程观念，拓展患者画像
3.加强患者管理
4.组建MDT专家团队</t>
  </si>
  <si>
    <t>1.融动神内和耳鼻喉客户增加专诊量2.明确患者画像，提供病例正反馈
3.组建MDT专家团队，加强会议交流</t>
  </si>
  <si>
    <t>1、增加专诊，提升患者归拢与管理
2、C类客户明确患者画像，提高推荐率
3、A/C类客户会议覆盖</t>
  </si>
  <si>
    <t>三方会主席/讲者/讨论</t>
  </si>
  <si>
    <t>南京脑科医院</t>
  </si>
  <si>
    <t>郑家成</t>
  </si>
  <si>
    <t>徐燕</t>
  </si>
  <si>
    <t>单患临采</t>
  </si>
  <si>
    <t>1、头痛客户观念还有大幅升级空间，增加患者画像
2、头晕客户观念薄弱，且参加会议意愿度较低，科室开展会议难度大
3、B类客户多，且分散度很大
4、精神科客户诊断差，观念薄弱</t>
  </si>
  <si>
    <t>1、增加患者画像
2、筛选客户
3、提高客户诊断及观念</t>
  </si>
  <si>
    <t>1、对于头痛客户分患者画像传递，逐一突破，增加患者画像使用 数
2、对于眩晕客户，撬动其参会意愿度
3、B类客户，广覆盖，筛选高质量客户培养
4、精神科客户多开展GD会，观念传递</t>
  </si>
  <si>
    <t>1、线上会议（对于线下参会意愿度低的客户先洗刷观念）
2、每周定期po会
3、大客户定期协防，赋能</t>
  </si>
  <si>
    <t>南通大学附属医院</t>
  </si>
  <si>
    <t>周丽丽</t>
  </si>
  <si>
    <t>南通大学附属医院为CORE医院，是东二区300+梯队的标杆核心院。tth由3月316稳定爬升至7月420，呈持续上行，月均已在300+梯队；9月TTH目标880、Q4月均目标800+，仍有翻倍增量空间。门诊结构：头痛门诊4个/周、头痛客户3人；眩晕门诊暂为0但眩晕客户5人（耳鼻喉眩晕方向）有基础。标签客户15人、活跃客户仅6人，沉睡池大。客户与观念呈「底重金字塔」：阶梯治疗1人、止痛优选3人、短期治痛1人、治痛管理仅1人（张鲁平），资深治痛管理/治痛管理大师均为0；A客户2人（蔡可夫、李爱红，贡献31.4%）、B客户2人（贡献8.6%）、C客户2人（张鲁平等，贡献60%）、D客户0。贡献高度集中——张鲁平(耳鼻喉眩晕C类)一人贡献近六成，9月目标300、7月已220，是绝对主力，但其观念已到治痛管理，需上推资深治痛管理；多数B类脑血管(柯开富、曹茂红、樊兴娟、倪耀辉、成亚琴、张元媛、张云峰、顾晓苏、赵映红)及D类其它科室(疼痛/其它)仍为「不管不治」，7月tth基本为0，是医院级最大未开发池。最大瓶颈：准入标签「未准入」，卡在处方最后一公里。</t>
  </si>
  <si>
    <t>1) 头部巩固扩量：张鲁平(治痛管理→资深治痛管理)维持并借前庭性偏头痛专病/号源扩容做标杆；蔡可夫、李爱红(A类头痛)上推治痛管理；
2) 中部观念上移：把止痛优选/短期治痛群体（柯开富、曹茂红、尤小东等）往治痛管理/短期治痛推，积累病例；
3) 底部批量破冰：9名B类脑血管「不管不治」客户（樊兴娟、倪耀辉、成亚琴、张元媛、张云峰、顾晓苏、赵映红等）通过一场脑血管科室会+逐人破冰批量唤醒进阶梯治疗；
4) 渠道借力：依托头痛专诊(蔡可夫4/周、李爱红8/周、陈鑫4/周)做治痛管理路径示范；眩晕方向(张鲁平、尤小东、胡松群、殷勇、刘浩)攻前庭性偏头痛血管风险患者；
5) 准入破冰：推动「未准入」转准入打通处方；补244标签、推动头痛/眩晕专诊与号源扩容做大患者池。</t>
  </si>
  <si>
    <t>头部客户(张鲁平、蔡可夫、李爱红)每月≥2次高频拜访巩固并扩量，借前庭性偏头痛/头痛共病专诊扩容做大患者池并做转介网络；中部客户(柯开富、曹茂红、尤小东)依托专诊与科室会做观念上移、积累治痛管理病例；9名「不管不治」脑血管客户通过一场脑血管科室会+会后逐人破冰批量唤醒，并补全244标签(张元媛、张云峰、顾晓苏、缪秀华、李晓飞、郑冬冬等仍缺标签)；眩晕方向借区域眩晕会认前庭性偏头痛患者、优先瑞美吉泮用于血管风险者；D类(蒋锐、秦毅彬疼痛、李晓飞、郑冬冬)从其它科室培育，先以头痛/眩晕相关适应症切入；推动「未准入」转准入、开设/扩容头痛与眩晕专诊号源；对潜力但量未起的客户持续每月1-2次破冰拜访。</t>
  </si>
  <si>
    <t>医学部循证（偏头痛-抑郁焦虑共病、前庭性偏头痛、血管风险、CGRP机制）资料与讲者支持；脑血管科室会+9人破冰带教支持；区域头痛/眩晕沙龙及COE会议名额；「未准入」转准入的医学/市场协同与院方准入协调；244标签系统录入与专诊/号源院方协调；张鲁平等头部客户的资深治痛管理上推与转介网络带教。</t>
  </si>
  <si>
    <t>南通市第一人民医院</t>
  </si>
  <si>
    <t>1.7月TTH 392，处于"300+"梯队，环比增长18.1%，连续2个月攀升，增长势能强劲，距500+梯队仅一步之遥；
2.客户结构严重失衡：C类客户董政协1人贡献7月销量的94%（368/392），头部依赖风险极高；A类2人（朱向阳、杨家伟）合计仅贡献8，与分型定位严重不匹配；B类7人合计12，人均处方量极低；D类空白；
3.13位目标客户中仅5人7月有处方（活跃率38%），8人处于零处方状态，其中6人为"不管不治"观念层级，破冰开发任务艰巨；
4.专诊资源未充分转化：朱向阳、杨家伟均开设头痛专诊（4次/月），但处方转化极低；董政协头晕/眩晕专诊运营良好，可作为标杆复制；
5.观念层级分布：阶梯治疗4人、止痛优选0人、短期治痛0人、治痛管理0人、资深治痛管理1人、治痛管理大师0人，中高层观念客户稀缺，观念提升空间大。</t>
  </si>
  <si>
    <t>策略一【头部维稳+标杆打造】：以董政协主任为核心，推动其从"资深治痛管理"向"治痛管理大师"进阶，打造前庭性偏头痛全程管理标杆，通过科室病例讨论、区域学术会议发挥辐射带动效应，确保核心贡献持续增长；
策略二【A类激活+专诊转化】：重点激活朱向阳、杨家伟两位头痛专诊A类客户，加速观念从"不管不治/阶梯治疗"提升至"止痛优选/治痛管理"，推动专诊号源扩容与244标签建设，将专诊患者流量转化为处方量；
策略三【B类分层运营】：7位B类客户按状态分层——成长型（李燕、陈蓝）上量、断方型（朱连海）激活、零起步型（曹志勇、陆珍辉、郭啸鸣、邵良、汪晗）破冰，以"脑血管病合并偏头痛共病管理"为统一切入点，提升整体活跃率与人均处方量；
策略四【耳鼻喉VM开发】：秦阳、吴昊两位耳鼻喉科头晕/眩晕客户，以前庭性偏头痛识别与鉴别诊断为切入点，推动眩晕专诊建设，拓展VM患者治疗覆盖。</t>
  </si>
  <si>
    <t>1.9月协助董政协主任开展1次"前庭性偏头痛全程管理"科室病例讨论会，覆盖神内+耳鼻喉全体13位目标客户，目标带动≥3位B/C类客户观念提升；
2.9月每周1次朱向阳头痛专诊前拜访，递送急性期+预防治疗指南，目标9月处方量从8提升至30，新增预防治疗患者2例；
3.9月优先安排杨家伟深度回访，分析断方原因并制定激活方案，目标9月重新实现首方并稳定至≥4例患者；
4.9月对7位B类客户实施分层拜访：成长型每两周1次聚焦上量、断方型优先1次深度回访+每两周1次激活、零起步型每两周1次破冰，目标9月B类活跃客户从2人增至5人；
5.9月协同秦阳、吴昊推动耳鼻喉科眩晕专诊建设，以前庭性偏头痛鉴别诊断为学术抓手，目标9月秦阳稳定处方≥4例、吴昊实现首方≥2例；
6.9月推动全院244标签完善（目前仅3人有标签），目标新增标签客户≥4人，提升院内系统偏头痛/眩晕患者识别与归拢率；
7.9月目标：全院TTH从392提升至500（+27.6%），活跃客户从5人增至9人，A类客户贡献占比从2%提升至15%。</t>
  </si>
  <si>
    <t>1.学术资料：偏头痛急性期及预防性治疗最新指南/共识、前庭性偏头痛ICHD-3诊断标准及鉴别诊断流程图、脑血管病合并偏头痛共病管理文献、瑞美吉泮循证医学资料包（含2小时无痛率、长期安全性、MMD改善、心血管安全性数据）；
2.会议支持：9月科室"前庭性偏头痛全程管理"病例讨论会（讲者课件、会议场地、参会激励），目标覆盖13位客户；区域学术会议/城市会讲者平台与参会名额；
3.物料支持：头痛/眩晕专诊患者随访登记表、MMD记录卡、患者教育手册、门诊头痛快速筛查表（含心血管风险评估模块）、瑞美吉泮临床数据速查卡；
4.院方协调：专诊号源扩容审批支持、244标签及出诊简介标签系统录入支持；
5.人力资源：MICS/DM/RPM协同拜访资源（重点支持破冰客户与断方激活）、上级医院头痛/眩晕中心专家会诊/转诊对接、新人破冰拜访带教支持。</t>
  </si>
  <si>
    <t>苏州市立医院</t>
  </si>
  <si>
    <t>杜研</t>
  </si>
  <si>
    <t>常备临采</t>
  </si>
  <si>
    <t>①活跃客户数不足：23位目标客户8月活跃仅10人(活跃率43%)，距目标20差10人；13人零处方(9位脑血管B类全零+沈明强断方+刘迎梅/沈蓉/吴冠会零)，空白巨大。
②止痛优选+观念客户少：止痛优选仅1人(邓邦鱼)、短期治痛2、治痛管理1，'观念客户'(止痛优选及以上)合计仅4/23；57%(13人)处'不管不治'底层，观念金字塔'底重'，是销量增长核心瓶颈。
③VM客户尤其耳鼻喉客户面少、深度不够：科室神内21+ENT1+其它1，耳鼻喉仅邓邦鱼1人；眩晕门诊0/周、VM(占眩晕15-20%)诊疗处方基本空白；邓邦鱼量36→20跌、刘迎梅断方、朱伟低量，VM'有方向无体系'。</t>
  </si>
  <si>
    <t>1.头部A类稳量上移：付建忠(专诊8/月→资深/大师+预防渗透+GD会讲者/代言)、冯红选(专诊4→8扩容稳住+升代言)、王媚瑕(巩固起量+专诊扩容+升倡导)、沈明强(优先激活断方恢复+补244)。2.活跃客户扩容：9位沉睡脑血管B类(周华/王锋/邱晨红/邓晓雷/江玲玲/孙沁怡/丁园/黄开梅/朱浩)按'补244→STEP1打标签→差异化挂号杠杆→开专病门诊/增号源'批量破冰；高门诊零处方吴冠会(24/月)、沈蓉(8/月)优先PSR随访+打标签激活；王薇(16/月)补244撬动；目标Q4活跃10→20。3.观念金字塔上移+止痛优选扩容(补②)：Freezer→Tryer(13→≤3)、Tryer→Repeater止痛优选(1→≥3)、Advocator(2→≥6)、Ambassador(1→≥3)；以GD会+指南+病例统一抬升。4.VM/耳鼻喉专项突破(补③)：邓邦鱼设眩晕专诊+VM筛查稳量上移；朱伟VM筛查+跨科(神内→ENT)转诊；刘迎梅重启痛晕专诊模块+打标签激活；清单扩容新增1-2位ENT眩晕/VM KOL(见客户名单末行)，建VM筛查流程(ICHD-3)，严守Do/Don't(仅急性期、75mg按需、不超适应症、GCMA审批)。5.KOL金字塔与244扩容(补④)：244标签9→≥18/23(14位缺失优先补全)；代言(Ambassador)由2→3人(赵中/付建忠/冯红选)；倡导(Advocator)由2→≥6人(付建忠/冯红选/王媚瑕/邓朋/冯倩/邓邦鱼)；讲者TTT+GD会+区域会放大peer影响。</t>
  </si>
  <si>
    <t>1.9月协助付建忠维持头痛专诊8/月满负荷，冯红选/王媚瑕专诊4→8扩容，赵中申请'头痛/情绪共病'专病门诊并增号源，门诊地图/互联网医院完成专诊标注。2.每次专诊/出诊前递送偏头痛预防治疗指南，月发作≥2次患者按指南评估预防需求，头部持续新增全程管理患者。3.9月以GD会开展1次科室'偏头痛全程管理'病例讨论会，付建忠/王媚瑕主讲，覆盖神内+耳鼻喉目标客户，会后1周未到场一对一补访。4.邓邦鱼推动设眩晕专诊+建VM筛查流程(ICHD-3)，朱伟/刘迎梅完善VM标签+跨科转诊，严守VM推广Do/Don't。5.9位沉睡脑血管B类(周华等)分批补全244标签+出诊简介标签(STEP1打标签)，按'科室会批量/一对一先行/区域会预热/开专病门诊/增模块号源'差异化杠杆破冰，推动不管不治→阶梯。6.吴冠会(24/月)优先PSR电话/微信随访既往患者重建信心并补244标签，王薇/沈蓉/沈明强补244标签撬动高门诊量；每次拜访带1典型病例强化规范治疗。7.清单扩容：摸排耳鼻喉眩晕/头痛亚专业新增1-2位目标医生(客户名单末行示意)，纳入244标签与VM专项管理。</t>
  </si>
  <si>
    <t>1.偏头痛预防治疗最新指南/共识、前庭性偏头痛ICHD-3诊断标准、抑郁焦虑-偏头痛共病文献、瑞美吉泮循证包(2小时无痛率/安全性)。2.9月科室'偏头痛全程管理'GD会名额、GCMA审批幻灯片、讲者TTT赋能(付建忠/王媚瑕/冯红选)。3.门诊地图/互联网医院专诊标注资源、专病门诊/加号审批协调。4.244标签系统录入支持、出诊简介标签优化工具(STEP1)、VM筛查表/VM质控共识/眩晕专诊建设工具包(话术单页、VM宣教单页、随访工具、眩晕日记模板)。5.PSR对既往处方患者电话/微信随访模板+疗效反馈收集、零新处方医生入门培训包、首方信心建立工具、同伴经验分享。6.上级医院头痛中心会诊/转诊资源、区域头痛学科建设平台学术活动名额、ENT眩晕/VM专项学术资源。</t>
  </si>
  <si>
    <t>安徽医科大学第一附属医院</t>
  </si>
  <si>
    <t>卜先峰</t>
  </si>
  <si>
    <t>杨胜运/许恺丽</t>
  </si>
  <si>
    <t>无</t>
  </si>
  <si>
    <t>无限制</t>
  </si>
  <si>
    <t>升级AB客户观念，扩大cd客户面</t>
  </si>
  <si>
    <t>AB客户强客情，学术观念升级，cd客户科室会议覆盖，学术观念共识</t>
  </si>
  <si>
    <t xml:space="preserve">A客户通过系列会议打造专家圈层B客户强客情，以张龙主任牵头，打造专家圈 CD客户 拓展耳鼻喉科 疼痛科，开展科室会议，拓展客户面 </t>
  </si>
  <si>
    <t>1：安徽头痛小组系列会议2：脑血管主题系列会议</t>
  </si>
  <si>
    <t>青岛市西海岸医院</t>
  </si>
  <si>
    <t>陈彩虹</t>
  </si>
  <si>
    <t>1、医院为头痛中心大三甲医院，产品当前状态为未准入，院内渠道暂未开放 2、头痛、眩晕专诊已开设，每周头痛门诊1次、眩晕门诊1次，A/B/C/D类客户均有布局 3、神经内科、疼痛科、耳鼻喉科均覆盖为目标客户，部分医生已开展专诊，但还有大量医生处于“不管不治”低观念阶段 4、历史TTH月销量维持300+水平，A类核心客户张亮贡献主要销量，其余客户潜力未释放且处方不连续</t>
  </si>
  <si>
    <t>1、优先推进产品院内准入做青医本部的工作，打通院内渠道2、深耕已有专诊的A/C类客户，巩固核心产出3、激活B/D类客户，推动低观念医生完成观念升级4、借力头痛/眩晕专诊门诊，落地规范化诊疗路径，挖掘增量患者5、分层管理客户，实现A客户稳住基本盘、B/C/D客户观念升阶</t>
  </si>
  <si>
    <t>1、准入方面：对接本部同事跟进院内采购、药剂科，梳理准入流程，准备完整产品资料，每周四为拜访日，借助跨部门同事力量协助进院 2、核心A客户张亮维护：跟进头痛专诊运行，门诊宣传以及PSR患者管理，跨平台交流资深治痛管理理念 3、C类客户李宏：依托眩晕专诊，推动观念从短期治痛升级至治痛管理，挖掘VM患者增量；4、潜力客户激活：贾春燕、孟超等，传递阶梯治疗、止痛优选理念，尝试门诊患者教育；针对滕继军、杨丽英等未破冰客户，从病例和GD会议切入，破除不管不治现状 5、专诊赋能：头痛、眩晕专诊门诊，提供诊疗工具资料，协助识别标签患者；耳鼻喉杨博文、黄天桥拓展头晕头痛患者机会 6、月度跟踪TTH销量，对比9月目标，复盘各客户观念转化与处方变化</t>
  </si>
  <si>
    <t>准入方面需要跨部门和领导协防</t>
  </si>
  <si>
    <t>苏州市中医医院</t>
  </si>
  <si>
    <t>低于300</t>
  </si>
  <si>
    <t>诊断率较低，B\C采用阶梯疗法
科内对于头痛头晕不是特别重视</t>
  </si>
  <si>
    <t>定期覆盖科主任，提高其头痛眩晕观念得到科主任支持，助力A\C发展
协助相关研究，提高科室知名度</t>
  </si>
  <si>
    <t>通过协助入组研究延长DOT
刘凯鸣、张甦琳影响PPPD和VM时间界限，提高共病诊断率</t>
  </si>
  <si>
    <t>江苏省眩晕学会任职
医学部协助完成VM研究
全国眩晕平台授课提高知名度</t>
  </si>
  <si>
    <t>南京市第一医院</t>
  </si>
  <si>
    <t>孙娟</t>
  </si>
  <si>
    <t>直联药店</t>
  </si>
  <si>
    <t>A客户只有一个头痛专病门诊且观念在阶梯治疗阶段；B客户门诊患者类型比较杂无法聚拢患者；C专病门诊客户无处方经验导致不敢推荐，有经验的C客户无专病门诊导致患者类型不聚集，效率低</t>
  </si>
  <si>
    <t>A客户迭代观念增加推荐，B客户收集正反馈提高认可度，C客户增加专病门诊</t>
  </si>
  <si>
    <t>增加对A类的客情拜访并提供专业的指南等资料，并增加邀请参加会议的机会，内外结合一起迭代观念，后期也要增加专病门诊和相关人员，形成团队；B类客户更加关注门诊中偏头痛患者的回访，增加正反馈，及时复诊，增加医生的认可度和知名度；C类有经验的客户要增加专病门诊，聚拢患者，并和无经验的专病门诊客户联动，一带一输出正向观念，一起进步成长</t>
  </si>
  <si>
    <t>老板随访、日常客情、学会任职、高质量三方会</t>
  </si>
  <si>
    <t>昆山市第一人民医院</t>
  </si>
  <si>
    <t>黄义杰</t>
  </si>
  <si>
    <t>800+</t>
  </si>
  <si>
    <t>1.7月TTH 280，处于"低于300"梯队，距离300梯队仅一步之遥，增长势能强劲。
2.A类仅1人（张炎）贡献占57%，头部依赖严重；B类9人，人均处方量低；C类4人完全空白；
3.14位目标客户中仅4人7月有处方（活跃率29%），6人零处方+4人断方，空白市场巨大；
4.仅1人达治痛管理，5人停留在不管不治，3人阶梯治疗，观念提升是销量增长的核心杠杆；
5.专头痛专诊1个+眩晕专诊2个，专诊患者中偏头痛/前庭性偏头痛识别率和处方率低；
6.跨耳鼻喉科4位医生全部零处方，前庭性偏头痛（占眩晕患者15-20%）诊疗完全空白，是重要增量方向；
7.吴亚平（抑郁焦虑亚专业）门诊中偏头痛共病率高达30-50%，目前完全未识别和处方。</t>
  </si>
  <si>
    <t>1：以张炎头痛专诊为核心，推动专诊号源扩容（4→6次/月）+预防性治疗渗透，打造科室学术标杆，发挥辐射带动作用；
2：9位B类客户按状态分层运营——成长型（任洁明）上量、刚首方型（马召玺、杨华）稳量、断方型（钱小燕、张蕾）激活、零起步型（陆丽芸、缪桂华、王一鸣）首方、跨亚专业型（吴亚平）共病切入，目标9月B类活跃客户从2人提升至7人；
3：以前庭性偏头痛为统一切入点，4位耳鼻喉科医生分两组推进——有专诊组（丁小军、谷李欣）建立筛查流程+跨科转诊，无专诊组（邓建华、任亮）联动拜访+鉴别诊断能力提升，目标9月实现耳鼻喉科零的突破；
4：以张炎主任为讲者，9月开展1次科室"偏头痛全程管理"病例讨论会，覆盖神内+耳鼻喉全体目标客户，推动整体观念层级上移，目标治痛管理及以上客户从1人增至3人。</t>
  </si>
  <si>
    <t>1.9月协助张炎主任提交头痛专诊加号申请，目标专诊从4次/月增至8次/月；
2.每次专诊前递送偏头痛预防性治疗指南/文献，目标9月新增预防治疗患者5例；
3.联合科室开展1次"偏头痛全程管理"病例讨论会，张炎主讲，覆盖神内+耳鼻喉全体目标客户；
4.协助建立头痛专诊患者随访登记表，对月发作≥2次患者主动随访评估预防治疗需求。
1.任洁明：重点沟通脑血管病合并偏头痛共病管理，建立门诊头痛筛查流程，目标9月80片；
2.马召玺/杨华：每两周拜访1次，携带典型病例，强化急性期规范治疗观念，目标各32片；
3.钱小燕/张蕾：首次拜访了解断方原因，随访既往处方患者收集疗效反馈，重建处方信心，目标各20-24片；
4.陆丽芸/缪桂华/王一鸣：从急性治疗便捷性切入，降低首方门槛，每两周拜访携带病例，目标各12-20片；
5.吴亚平：以共病管理为话题切入，提供偏头痛与焦虑抑郁共病资料，目标首方32片。
6.丁小军/谷李欣：以前庭性偏头痛为切入点，提供ICHD-3诊断标准，协助建立专诊筛查流程，推动与神内头痛专诊转诊协作，目标各32片；
7.邓建华/任亮：联动拜访营造科室处方氛围，以前庭性偏头痛鉴别诊断为切入点，先从1-2例典型患者入手建立信心，目标各12片。
8.9月中旬开展1次科室病例讨论会，张炎主任主讲"偏头痛全程管理"，邀请神内+耳鼻喉全体14位目标客户参加；
9.会后1周内对未到场客户进行一对一补访，递送会议资料及核心观点；
10.每次拜访携带1个典型病例，持续强化规范治疗观念，推动客户观念层级逐阶上移。</t>
  </si>
  <si>
    <t>1.偏头痛急性期最新指南/共识、前庭性偏头痛ICHD-3诊断标准、抑郁焦虑与偏头痛共病管理文献、瑞美吉泮循证医学资料包（含2小时无痛率、安全性）；
2.会9月科室"偏头痛全程管理"病例讨论会，目标覆盖14位客户；
3.门诊头痛患者快速筛查表、前庭性偏头痛鉴别诊断工具、患者随访登记表、患者教育手册、瑞美吉泮核心卖点速查卡、典型病例集（每周更新）；
4.上级医院头痛中心专家会诊/转诊资源，协助推动神经内科头痛专诊与耳鼻喉科眩晕专诊的跨科转诊协作机制；
5.协助协调门诊办公室头痛专诊加号审批流程（张炎4→6次/月）；
6.PSR对既往处方患者电话/微信随访模板及支持，疗效反馈收集与整理；
7.零新处方医生入门培训资料包、首方信心建立工具、同伴经验分享（同科室处方医生病例交流）；
8.精神心理科/神经科抑郁焦虑亚专业医生使用瑞美吉泮的病例经验分享，共病患者筛查量表。</t>
  </si>
  <si>
    <t>青岛市中医医院</t>
  </si>
  <si>
    <t>冯雅琪</t>
  </si>
  <si>
    <t>AC客户产出为主；B客户潜力需要释放；
目前仅有1位头痛客户，需要融动中青年客户转A；
C客户处方客户多但稳定客户较少，需要培养大C客户</t>
  </si>
  <si>
    <t xml:space="preserve">1.落地眩晕学会，借助学会搭建中医院MDT小圈子；
2.目前眩晕出诊客户（马晓维、陈卫）需要进阶观念，Q4会议资源覆盖，病例分享；
3.A客户于主任加强融动，借助PSR进行患者管理，推动进阶治痛管理大师
4.耳鼻喉科眩晕门诊与学会同步推动，同时加强病房管理，深挖耳鼻喉，培养稳定处方客户，及小C大C客户；（朱晓宁 葛洪洲 陈晓宇）
</t>
  </si>
  <si>
    <t>1.晓宁主任学会筹备中，9月沟通院外宴请；
2.两位客户已上报DM，优先进行会议覆盖；
3.患者管理进行中，主任处于保守状态，通过会议影响；
4.对于耳鼻喉客户，继续系列会议的召开，进行病例积累，同步跟进朱主任进行门诊申请</t>
  </si>
  <si>
    <t>眩晕学会需要RM DM、市场部进行协防；
学会后期承接，会议资源的覆盖</t>
  </si>
  <si>
    <t>徐州矿务集团总医院暨徐州医科大学院第二附属医院</t>
  </si>
  <si>
    <t>章智程</t>
  </si>
  <si>
    <t>除急诊，其他门诊、病房全开放</t>
  </si>
  <si>
    <t>1.门诊患者眩晕客户目前观念阶梯治疗，复诊率低2.病房使用瑞美吉泮的患者出院带药低，复诊率低 3.疼痛科因治疗费无法降瑞美吉泮加入到方案</t>
  </si>
  <si>
    <t xml:space="preserve"> 1.和随访护士一起沟通，或者帮助随访，看看是否真实有随访，邀约复诊 2.对没有随访护士的病区，融动主任建立随访机制，或帮助随访 3.尝试引进小包装，与疼痛科融合治疗方案</t>
  </si>
  <si>
    <t xml:space="preserve"> 1.会议赞助 2.荣院和肖需要三方会议</t>
  </si>
  <si>
    <t>江苏省苏北人民医院</t>
  </si>
  <si>
    <t>高佳怡</t>
  </si>
  <si>
    <t>眩晕客户产出占比不够</t>
  </si>
  <si>
    <t>耳鼻喉，神内眩晕重点跟进</t>
  </si>
  <si>
    <t>市人医眩晕中心，苏北眩晕门诊</t>
  </si>
  <si>
    <t>眩晕三方会，lb</t>
  </si>
  <si>
    <t>青岛大学附属医院</t>
  </si>
  <si>
    <t>目前本部医院无头痛方向客户；客户处方面及深度急需拓展深挖；
增长较为缓慢</t>
  </si>
  <si>
    <t xml:space="preserve">对于已破冰处方客户，会议覆盖加深治痛治晕观念；
筛选中青年客户，融动头痛眩晕方向发展；（王乃东/孙绍洋？）
小圈子宴请，目前已预约，加深客情，搭建青医MDT小圈子；
分客户拓展，共岗深挖客户潜力；
</t>
  </si>
  <si>
    <t xml:space="preserve">1.破冰客户已梳理名单，报给DM，三方会议覆盖；
2.锁定王乃东/孙绍洋，做初步融动
3.对于小圈子宴请，已预约王乃东主任，暂定9月初；
4.共岗客户名单已梳理，沟通中
</t>
  </si>
  <si>
    <t>DM及市场部、区域部共同协防孙妍萍主任及药剂科
推动青医临采</t>
  </si>
  <si>
    <t>山东大学齐鲁医院</t>
  </si>
  <si>
    <t>TBA</t>
  </si>
  <si>
    <t>1、A客户对于六类优势人群未常规首选；
2、B对于单患者未达足剂量；
3、CD观念夯实不稳固。</t>
  </si>
  <si>
    <t>1、学术会议影响观念，推动新的优势人群的认知；
2、强化患者后续风险，做好患者管理；
3、由AB影响改变CD的观念。</t>
  </si>
  <si>
    <t>1、倡导六大优势人群常规首选，每月一场相关主题的会议；
2、相应群体确保足剂量足疗程，每月一场患教会传递，做好头痛日记的管理；
3、分享AB应用经验，每月围绕目标客户2场科室会。</t>
  </si>
  <si>
    <t>每月1-2场三方会议覆盖含主席、讲者及讨论的名额</t>
  </si>
  <si>
    <t>潍坊市人民医院</t>
  </si>
  <si>
    <t>1、无核心专业的头痛医生，缺乏科室级学术标杆2、现有客户深度不够、缺少学术绑定，足量足疗程管理认知不深3、C类客户基数少、潜力未发觉</t>
  </si>
  <si>
    <t>1、筛选科室意向高、学习意愿强的中青年医生，孵化为A类客户2、从单纯拜访 升级为学术绑定+诊疗观念统一。通过病例复盘、足量足疗程观念输出、打造核心B客户群 3、针对神内与耳鼻喉的眩晕中心进行广覆盖、扩充客户基数</t>
  </si>
  <si>
    <t>1、梳理未定专业以及对头痛感兴趣的青年医师，锁定2-3位进行重点管理客户。优先邀请参加相关会议，、2、协助科室梳理诊疗流程、患者管理体系，打造科室特色亚专业3、4季度完成A客户打造、带动科室整体观念4、针对核心B客户，每周1次深度拜访。每次输出1个临床痛点、融动一个患者画像5、主动协助客户梳理门户患者病例，9月完成1-2例的典型病例，做好足量足疗程管路6、代言客户定制客户计划、提升客户认可度以及依赖度7、广覆盖C客户，开展常态化GD，低成本观念触达，筛选2-3位核心客户进行深度缔结，培养足量足疗程习惯</t>
  </si>
  <si>
    <t>线上会一场，做耳鼻喉眩晕与神内眩晕的MDT，打通医院诊疗</t>
  </si>
  <si>
    <t>淄博市中心医院</t>
  </si>
  <si>
    <t>鲁景霄</t>
  </si>
  <si>
    <t>偏头痛诊断率较低，阶梯治疗观念，瑞美推荐等级较低</t>
  </si>
  <si>
    <t>A客户头痛专病门诊深挖，B类客户提升偏头痛诊断率，提升瑞美推荐等级，C类客户提升VM诊断率，明确目标患者画像</t>
  </si>
  <si>
    <t>A客户头痛门诊CDSS提升病例规范化，深挖偏头痛患者潜力，覆盖PO及三方会议，B客户覆盖会议，提升偏头痛诊断率及瑞美推荐等级，C重点客户优先覆盖三方会议，外部观念影响，PSR协助随访患者，提升正反馈</t>
  </si>
  <si>
    <t>PO会议讲者。三方会议讲者或讨论</t>
  </si>
  <si>
    <t>山东第二医科大学附属医院</t>
  </si>
  <si>
    <t>青岛</t>
  </si>
  <si>
    <t>1、头痛专诊患者归拢率低2、现有核心客户足量足疗程规范化观念薄弱3、眩晕科客户覆盖率低、潜力挖掘不足</t>
  </si>
  <si>
    <t>1、协助科室沉淀头痛专病接诊体系，引导患者归拢，打造固定专病流量端口2、以病例随访+指南落地双抓手，纠正短期用药习惯，统一足量、足疗程、长周期管理理念
不单纯做产品拜访3、眩晕科客户全面盘点、覆盖、打造科室第二增长曲线</t>
  </si>
  <si>
    <t>1、对接科室主任及核心骨干，沟通头痛亚专业规范化建设思路、开展科室小型宣教，明确典型偏头痛、复发性头痛患者的专病接诊路径，引导门诊分诊集中。2、对现有A/B核心客户执行一对一学术深耕拜访，每次拜访聚焦一个主题、核心客户全部建立足量足疗程、长周期管理的规范化诊疗习惯，患者复发率下降、持续用药率提升、3、对空白客户完成首轮学术触达，普及VM与各类眩晕的鉴别诊断、规范化用药基础认知，完成基础扫盲。4、筛选2–3名优质潜力客户，重点跟进、重点学术倾斜，通过病例分享、指南推送、门诊沟通，逐步培养眩晕处方习惯。</t>
  </si>
  <si>
    <t>安徽省立医院</t>
  </si>
  <si>
    <t>洪剑</t>
  </si>
  <si>
    <t>诊断观念落后不明确，推荐率低，院外药房到店率低</t>
  </si>
  <si>
    <t>提高偏头痛的诊断率和推荐率，药房培训和协助，管理随访</t>
  </si>
  <si>
    <t>围绕安徽省头痛小组建设发展，积极拓展科室头痛人员观念，眩晕中心建设安徽省的标杆，打造全省到全国的影响力</t>
  </si>
  <si>
    <t>头痛专向会议覆盖，以安徽省眩晕中心建设开展VM的专向治疗标准和观念</t>
  </si>
  <si>
    <t>徐州医科大学附属医院</t>
  </si>
  <si>
    <t>Growth</t>
  </si>
  <si>
    <t>处方外配</t>
  </si>
  <si>
    <t>1.头痛中心主任不重视头痛专病门诊没有稳定开展2.大量患者流到老专家观念比较差的客户手里 3.眩晕中心诊断不规范</t>
  </si>
  <si>
    <t xml:space="preserve"> 1.融动头痛中心主任积极发展中心。2.其他可以申请头痛专病门诊的科室筛选愿意积极发展的中青年专家开展头痛专病门诊 3.眩晕中心诊断策略需要改变，从患者角度和治疗角度推荐使用瑞美吉泮</t>
  </si>
  <si>
    <t xml:space="preserve"> LB、三方会</t>
  </si>
  <si>
    <t>常州市第一人民医院</t>
  </si>
  <si>
    <t>缪苏琴</t>
  </si>
  <si>
    <t>1、头痛门诊医生经验不足，对头痛的诊断和识别能力较差
2、客户面太少需要拓展</t>
  </si>
  <si>
    <t>1、A类客户要加大宣传，增加会议覆盖，并做好跟进；
2、B类客户迭代观念，从阶梯治疗到治痛管理</t>
  </si>
  <si>
    <t>1、区域中青年PO会计划执行，做好会后跟进
2、客户数拓展后加强拜访频率</t>
  </si>
  <si>
    <t>会议覆盖、学苑培训班</t>
  </si>
  <si>
    <t>东南大学附属中大医院</t>
  </si>
  <si>
    <t>每周2个头痛门诊，但是都有其他专业一起；耳鼻喉科客户观念较差</t>
  </si>
  <si>
    <t>A类客户要加大宣传，增加专诊次数，并做好回访；C类客户迭代观念，从阶梯治疗到治痛管理</t>
  </si>
  <si>
    <t>A类客户在门诊屏幕、分诊台做好分流，督促做好患者回访及时复诊，归拢患者收集正反馈；C类客户邀请参加内外部会议更新观念，改变处方习惯</t>
  </si>
  <si>
    <t>三方会、GD/LB/PO、头痛头晕量表收集</t>
  </si>
  <si>
    <t>山东省精神卫生中心</t>
  </si>
  <si>
    <t>公茂伟</t>
  </si>
  <si>
    <t>1成立头痛门诊
2增加MDT联合诊疗观念
3增加治痛观念进阶医生</t>
  </si>
  <si>
    <t>1融动院长计划引进头痛专家计划
2成立融合门诊MDT诊断
3优秀病例分享圈</t>
  </si>
  <si>
    <t>1以实现人才引进
2加速融合MDT圈子认识
3开始积累病例</t>
  </si>
  <si>
    <t>每月2个名额参与三方会</t>
  </si>
  <si>
    <t>青岛市精神卫生中心</t>
  </si>
  <si>
    <t>批量临采</t>
  </si>
  <si>
    <t>1.D类客户既往无偏头痛诊断经验，偏头痛观念不足
2.无A类客户，头痛专诊数不足</t>
  </si>
  <si>
    <t>1、通过GD会议，邀请参加三方会听课学习提升偏头痛诊断率；
2、积累正反馈病例，创造分享机会；与综合医院A类客户建立交流平台
3、增加专病门诊</t>
  </si>
  <si>
    <t>1.利用GD会，三方会提升客户的偏头痛诊断观念2.组建MDT团队，提供病例正反馈提升用药信心</t>
  </si>
  <si>
    <t>三方会议讲者/讨论</t>
  </si>
  <si>
    <t>胜利油田中心医院</t>
  </si>
  <si>
    <t>例如门诊增加，号源，标签，诊疗路径识别出机会，6大增长点</t>
  </si>
  <si>
    <t>客户名</t>
  </si>
  <si>
    <t>科室</t>
  </si>
  <si>
    <t>亚专业</t>
  </si>
  <si>
    <t>客户分型</t>
  </si>
  <si>
    <t>是否list</t>
  </si>
  <si>
    <t>244标签</t>
  </si>
  <si>
    <t>出诊简介中是否含有头痛/疼痛、头晕/眩晕等标签</t>
  </si>
  <si>
    <t>专诊标签</t>
  </si>
  <si>
    <t>专诊次数/月</t>
  </si>
  <si>
    <t>非专诊次数/月</t>
  </si>
  <si>
    <t>出诊次数/月</t>
  </si>
  <si>
    <t>现阶段观念评估（7月）</t>
  </si>
  <si>
    <t>观念提升目标</t>
  </si>
  <si>
    <t>9月预估目标（2片装）</t>
  </si>
  <si>
    <t>机会点</t>
  </si>
  <si>
    <t>针对每一个机会点的行动计划</t>
  </si>
  <si>
    <t>桂韦</t>
  </si>
  <si>
    <t>神经内科</t>
  </si>
  <si>
    <t>头痛</t>
  </si>
  <si>
    <t>A</t>
  </si>
  <si>
    <t>头痛专诊</t>
  </si>
  <si>
    <t>短期治痛（Advocator）</t>
  </si>
  <si>
    <t>治痛管理（Ambassador）</t>
  </si>
  <si>
    <t>每周3个头痛专诊，患者归拢率高，省内患者口碑和号召力强</t>
  </si>
  <si>
    <t>借助安徽省头痛小组建设，省内头痛专家个人影响力</t>
  </si>
  <si>
    <t>围绕头痛建设的省内培训会和质控会议</t>
  </si>
  <si>
    <t>程昭昭</t>
  </si>
  <si>
    <t>脑血管</t>
  </si>
  <si>
    <t>B</t>
  </si>
  <si>
    <t>无专诊设置</t>
  </si>
  <si>
    <t>止痛优选（Repeater）</t>
  </si>
  <si>
    <t>病区主任，头痛在科室的发展，患者依从性高</t>
  </si>
  <si>
    <t>省内会议平台，提高自身的影响力和地位</t>
  </si>
  <si>
    <t>线上线下PO会或者三方会的主席，省外会议交流</t>
  </si>
  <si>
    <t>潘春晨</t>
  </si>
  <si>
    <t>耳鼻喉科</t>
  </si>
  <si>
    <t>头晕/眩晕</t>
  </si>
  <si>
    <t>C</t>
  </si>
  <si>
    <t>阶梯治疗（Tryer）</t>
  </si>
  <si>
    <t>每周开设2个眩晕专诊，发展晕痛方向，VM诊断率低</t>
  </si>
  <si>
    <t>协助中青年医生职业和未来方向发展，安徽省内眩晕的领头人</t>
  </si>
  <si>
    <t>眩晕中心建设支持和平台打造，个人在科室的影响力和发展</t>
  </si>
  <si>
    <t>吴燕</t>
  </si>
  <si>
    <t>头晕/眩晕专诊</t>
  </si>
  <si>
    <t>开设神经内科的眩晕门诊，瑞美在眩晕治疗的认可，融动</t>
  </si>
  <si>
    <t>客情融动，安徽省头痛小组发展</t>
  </si>
  <si>
    <t>王梓</t>
  </si>
  <si>
    <t>开设头痛专诊，跟随桂主任头痛方向研究，中青年的培养</t>
  </si>
  <si>
    <t>作为医院青年头痛方向培养，用药和学术方向的提升，作为代言培育</t>
  </si>
  <si>
    <t>青年的医生头痛交流会议</t>
  </si>
  <si>
    <t>周裔翠</t>
  </si>
  <si>
    <t>不管不治（Freezer）</t>
  </si>
  <si>
    <t>眩晕发展方向，VM的诊断和治疗欠缺</t>
  </si>
  <si>
    <t>眩晕青年医生的交流和观念提升，收集病例</t>
  </si>
  <si>
    <t>青年医生会议和病例分享</t>
  </si>
  <si>
    <t>孙家强</t>
  </si>
  <si>
    <t>科室主任，准入进院，科室号召和影响</t>
  </si>
  <si>
    <t>省外大咖交流和个人影响力的提升</t>
  </si>
  <si>
    <t>省外会议主席或者主持</t>
  </si>
  <si>
    <t>吴元波</t>
  </si>
  <si>
    <t>谨慎院外用药</t>
  </si>
  <si>
    <t>高频拜访和产品传递</t>
  </si>
  <si>
    <t>吴蕾</t>
  </si>
  <si>
    <t>对于青少年的用药感兴趣，院外用药顾虑</t>
  </si>
  <si>
    <t>高频拜访，传递临床青少年的数据</t>
  </si>
  <si>
    <t>会议讨论学习</t>
  </si>
  <si>
    <t>宋笑凯</t>
  </si>
  <si>
    <t>癫痫</t>
  </si>
  <si>
    <t>院外处方限制</t>
  </si>
  <si>
    <t>会议邀请讨论或听课学习</t>
  </si>
  <si>
    <t>刘晓薇</t>
  </si>
  <si>
    <t>最早开展眩晕门诊，眩晕患者归拢高，顾虑院外用药</t>
  </si>
  <si>
    <t>借助眩晕中心建设，改变主任观念和用药方案选择</t>
  </si>
  <si>
    <t>围绕眩晕中心建设活动会议</t>
  </si>
  <si>
    <t>侯晓燕</t>
  </si>
  <si>
    <t>王俊</t>
  </si>
  <si>
    <t>外科手术结合耳蜗偏头痛患者用药</t>
  </si>
  <si>
    <t>高频拜访，沟通收集病例</t>
  </si>
  <si>
    <t>病例分享</t>
  </si>
  <si>
    <t>陈育华</t>
  </si>
  <si>
    <t>顾虑院外用药，患者告知方案</t>
  </si>
  <si>
    <t>朱余友</t>
  </si>
  <si>
    <t>脑血管共病患者，关注药物安全性</t>
  </si>
  <si>
    <t>高频拜访和跟进尝试用药后，推荐会议参加</t>
  </si>
  <si>
    <t>用药经验后会议主持</t>
  </si>
  <si>
    <t>朱本藩</t>
  </si>
  <si>
    <t>疼痛科</t>
  </si>
  <si>
    <t>疼痛</t>
  </si>
  <si>
    <t>D</t>
  </si>
  <si>
    <t>已破冰，有足量足疗程观念，无患者管理</t>
  </si>
  <si>
    <t>LB会议融动，客情覆盖，融动协助患者随访，提高患者归拢</t>
  </si>
  <si>
    <t>lb会议资源</t>
  </si>
  <si>
    <t>赵家贵</t>
  </si>
  <si>
    <t>有合作意愿度，患者归拢少</t>
  </si>
  <si>
    <t>客情拜访跟进，协助患者归拢，提高诊断率</t>
  </si>
  <si>
    <t>客情拜访，头痛相关会议支持，协助做好患者归拢和提高诊断</t>
  </si>
  <si>
    <t>汪敬业</t>
  </si>
  <si>
    <t>痛晕专诊</t>
  </si>
  <si>
    <t>急诊患者归拢问题</t>
  </si>
  <si>
    <t>1急诊药房沟通查询2急诊老师全覆盖，协助登记患者信息3随访急诊急性眩晕患者</t>
  </si>
  <si>
    <t>1：安徽头痛眩晕小组系列会议2：医学部研究协助支持</t>
  </si>
  <si>
    <t>章娟娟</t>
  </si>
  <si>
    <t>价格壁垒，推荐率高，脱落率高，推荐话术问题</t>
  </si>
  <si>
    <t>强客情拜访，专诊跟诊，协助随访，提高患者归拢，及时传递正反馈</t>
  </si>
  <si>
    <t>1：安徽头痛眩晕小组系列会议融动2强客情融动3再次明确目标患者画像，协助跟诊随访提升足量足疗程观念，协助建立正反馈</t>
  </si>
  <si>
    <t>张龙</t>
  </si>
  <si>
    <t>脑血管共病患者问诊不明确</t>
  </si>
  <si>
    <t>1：会议覆盖，用其他脑血管专家问诊诊断流程带动主任2：牵头安徽脑血管共病专家圈</t>
  </si>
  <si>
    <t>1：外部脑血管专家会议参与2“每季度一场牵头脑血管会议</t>
  </si>
  <si>
    <t>高建国</t>
  </si>
  <si>
    <t>复诊率低</t>
  </si>
  <si>
    <t>协助申请头痛门诊，进行患者归拢，发放患教手册，做好患者教育树立治痛疗程观念</t>
  </si>
  <si>
    <t>1.GD会议覆盖2.客情覆盖</t>
  </si>
  <si>
    <t>胡雅娟</t>
  </si>
  <si>
    <t>价格壁垒，治痛观念升级慢</t>
  </si>
  <si>
    <t>强客情拜访，整理正反馈病例，讲好治痛故事</t>
  </si>
  <si>
    <t>1：安徽头痛眩晕小组系列会议融动2：301精英会融动3预约LB会议</t>
  </si>
  <si>
    <t>燕晓翔</t>
  </si>
  <si>
    <t>患者归拢少 不参与会议，但是价格壁垒少</t>
  </si>
  <si>
    <t>强客情拜访维护客户关系。 融动协助管理患者，整理正反馈病例</t>
  </si>
  <si>
    <t>客情拜访支持 脑血管相关三方会议支持</t>
  </si>
  <si>
    <t>刘颖</t>
  </si>
  <si>
    <t>有合作意愿，尝试推荐，但是流失率高</t>
  </si>
  <si>
    <t>强客情拜访。科室会议融动。</t>
  </si>
  <si>
    <t>脑血管相关三方会议融动</t>
  </si>
  <si>
    <t>吴兴启</t>
  </si>
  <si>
    <t>破冰客户，价格壁垒大，有合作意愿</t>
  </si>
  <si>
    <t>客情维护，跟进随访患者， 尽快协助建立正反馈。提升推荐信心</t>
  </si>
  <si>
    <t>眩晕相关三方会议 头痛小组系列会议</t>
  </si>
  <si>
    <t>王玉</t>
  </si>
  <si>
    <t>北区临采问题</t>
  </si>
  <si>
    <t>沟通北区科室临采，提前拜访采购</t>
  </si>
  <si>
    <t>1协助头痛眩晕小组建立，支持会议2协助研究落地</t>
  </si>
  <si>
    <t>卫玲</t>
  </si>
  <si>
    <t>其它</t>
  </si>
  <si>
    <t>有合作意愿，不参与会议，对CGRP兴趣度高</t>
  </si>
  <si>
    <t>客情维护，针对共病患者画像沟通足量足疗程破冰</t>
  </si>
  <si>
    <t>客情拜访，科室会议开展传递机制优势</t>
  </si>
  <si>
    <t>余崇仙</t>
  </si>
  <si>
    <t>有vm 耳蜗型偏头痛患者群，有合作意愿度</t>
  </si>
  <si>
    <t xml:space="preserve"> 高频拜访，客情维护 传递cgrp作用机制以及专家经验，优秀病例，加速破冰。融动参与vm会议</t>
  </si>
  <si>
    <t>vm 会议           科室会议覆盖，赵益主任观念影响</t>
  </si>
  <si>
    <t>朱小群</t>
  </si>
  <si>
    <t>尝试使用过瑞美，但没有正反馈。足量足疗程观念弱。</t>
  </si>
  <si>
    <t>高频拜访 客情维护，接送工作，家访维护</t>
  </si>
  <si>
    <t>客情维护拜访支持</t>
  </si>
  <si>
    <t>王芳</t>
  </si>
  <si>
    <t>有推荐，但推荐力度低，患者流失大</t>
  </si>
  <si>
    <t>客情拜访 门诊前拜访维护，目标患者画像共识，推荐话术更新，重点提升治痛观念</t>
  </si>
  <si>
    <t>客情支持，科室会议支持，三方会议支持</t>
  </si>
  <si>
    <t>胡盼盼</t>
  </si>
  <si>
    <t>科室主任，有头痛患者群体</t>
  </si>
  <si>
    <t>日常客情拜访</t>
  </si>
  <si>
    <t>科室会议 科室赞助</t>
  </si>
  <si>
    <t>王长青</t>
  </si>
  <si>
    <t>已破冰，但无正反馈 无足量足疗程治疗</t>
  </si>
  <si>
    <t>客情拜访，持续跟进中高频患者使用反馈，协助建立正反馈</t>
  </si>
  <si>
    <t>客情支持</t>
  </si>
  <si>
    <t>陈先文</t>
  </si>
  <si>
    <t>已高频拜访，反馈头痛患者归拢少，主要亚专业为帕金森</t>
  </si>
  <si>
    <t>门诊拜访 探寻共病患者画像</t>
  </si>
  <si>
    <t>陈新贵</t>
  </si>
  <si>
    <t>王玉院长癫痫小组成员，目前在做睡眠</t>
  </si>
  <si>
    <t>1高频拜访，针对中高频患者，共病患者进行共识2王院长头痛观念融动</t>
  </si>
  <si>
    <t>客情维护，王玉院长牵头会议参与</t>
  </si>
  <si>
    <t>谢成娟</t>
  </si>
  <si>
    <t>病区主任，睡眠亚专业，对头痛兴趣度低，单元一了解</t>
  </si>
  <si>
    <t>强客情基础后，科室会议覆盖</t>
  </si>
  <si>
    <t>科室会议覆盖</t>
  </si>
  <si>
    <t>王琴</t>
  </si>
  <si>
    <t>未破冰，对cgrp感兴趣，患者数多</t>
  </si>
  <si>
    <t>科室会议通过赵益主任观念带动对cgrp作用机制了解和认可</t>
  </si>
  <si>
    <t>科室会议覆盖，赵益主任观念影响</t>
  </si>
  <si>
    <t>赵勇</t>
  </si>
  <si>
    <t>科室会议组织，联动汪主任开展急性眩晕患者研究</t>
  </si>
  <si>
    <t>协助急诊研究开展，对眩晕患者进行及时随访</t>
  </si>
  <si>
    <t>vm会议覆盖，科室会议客情维护</t>
  </si>
  <si>
    <t>钟梅</t>
  </si>
  <si>
    <t>未破冰，患者归拢少</t>
  </si>
  <si>
    <t>赵益</t>
  </si>
  <si>
    <t>已破冰，推荐率可，足量足疗程观念较弱，主任存在价格壁垒</t>
  </si>
  <si>
    <t>跟进融动参与vm会议，带动提升足量足疗程治疗观念，协助积累患者正反馈。提升处方信心</t>
  </si>
  <si>
    <t>科室会议覆盖，vm相关会议覆盖</t>
  </si>
  <si>
    <t>童立清</t>
  </si>
  <si>
    <t>既往有使用经验，但是针对高频患者，或者阶梯治疗后选择</t>
  </si>
  <si>
    <t>传递正反馈，加强使用信心，客情拜访跟进，讲好治痛故事</t>
  </si>
  <si>
    <t>客情拜访，定期GD会传递观念</t>
  </si>
  <si>
    <t>王海波</t>
  </si>
  <si>
    <t>患者归拢少，价格壁垒大</t>
  </si>
  <si>
    <t>客情拜访跟进，讲好治痛故事，树立治痛疗程观念打消价格顾虑</t>
  </si>
  <si>
    <t>刘婷婷</t>
  </si>
  <si>
    <t>抑郁焦虑</t>
  </si>
  <si>
    <t>有合作意愿度，有偏头痛患者群体</t>
  </si>
  <si>
    <t>传递焦虑抑郁共病偏头痛患者群体以及治疗方案</t>
  </si>
  <si>
    <t>日程客情拜访维护 定期科室会议维护</t>
  </si>
  <si>
    <t>杨文蓓</t>
  </si>
  <si>
    <t>急诊老师配合度高，有一定的急性期用药经验</t>
  </si>
  <si>
    <t>门诊前拜访，协助神经内科开药，门诊后整理患者画像，协助进行随访</t>
  </si>
  <si>
    <t>急诊研究跟进，客情科室会议覆盖</t>
  </si>
  <si>
    <t>蒋玉宝</t>
  </si>
  <si>
    <t>王玉院长癫痫组员，有合并偏头痛患者人群</t>
  </si>
  <si>
    <t>王玉院长牵头头痛小组融动，癫痫共病患者目标画像共识</t>
  </si>
  <si>
    <t xml:space="preserve">王院长牵头头痛小组系列会议融动
</t>
  </si>
  <si>
    <t>薛海翔</t>
  </si>
  <si>
    <t>资深治痛管理（Experienced Ambassador）</t>
  </si>
  <si>
    <t>诊疗路径识别出机会</t>
  </si>
  <si>
    <t>搭建中青年学术交流平台；结合客户发展规划制定阶段性沟通计划</t>
  </si>
  <si>
    <t>中青年专家平台；客户学术成长资源；患者管理项目支持；月度学术活动支持</t>
  </si>
  <si>
    <t>李海峰</t>
  </si>
  <si>
    <t>号源增加</t>
  </si>
  <si>
    <t>患者画像梳理；典型病例整理</t>
  </si>
  <si>
    <t>VM学术活动明确诊断和治疗策略</t>
  </si>
  <si>
    <t>练学淦</t>
  </si>
  <si>
    <t>LB和其他专家交流经验，建立客户问题清单；匹配学术内容</t>
  </si>
  <si>
    <t>pim覆盖；脑血管病合并头痛跨领域会议</t>
  </si>
  <si>
    <t>马晨晨</t>
  </si>
  <si>
    <t>增加拜访频率理，共识患者画像</t>
  </si>
  <si>
    <t>脑血管病、头痛跨领域会议</t>
  </si>
  <si>
    <t>丁俭</t>
  </si>
  <si>
    <t>门诊增加</t>
  </si>
  <si>
    <t>pim、gd会议覆盖</t>
  </si>
  <si>
    <t>岳春贤</t>
  </si>
  <si>
    <t>朱靓</t>
  </si>
  <si>
    <t>耿磊钰</t>
  </si>
  <si>
    <t>门诊增加、号源</t>
  </si>
  <si>
    <t>搭建中青年学术交流平台；结合客户发展规划制定阶段性沟通计划；建立患者随访及病例管理</t>
  </si>
  <si>
    <t>郭怡菁</t>
  </si>
  <si>
    <t>提升现有患者的持续管理及复诊转化；头痛患者推荐头痛专家门诊</t>
  </si>
  <si>
    <t>每月2-3场会议，psr协助随访</t>
  </si>
  <si>
    <t>张正生</t>
  </si>
  <si>
    <t>诊疗路径识别</t>
  </si>
  <si>
    <t>探索脑血管病患者中的头痛相关诊疗需求</t>
  </si>
  <si>
    <t>头痛专病管理经验；脑血管病、头痛跨领域资源</t>
  </si>
  <si>
    <t>蔡文君</t>
  </si>
  <si>
    <t>提高vm诊断率；共识vm合并眩晕耳鸣患者画像</t>
  </si>
  <si>
    <t>VM诊断相关学术活动</t>
  </si>
  <si>
    <t>钱方媛</t>
  </si>
  <si>
    <t>谢春明</t>
  </si>
  <si>
    <t>门诊增加、诊疗路径识别</t>
  </si>
  <si>
    <t>建立更稳定的客户沟通节奏，持续挖掘头痛诊疗机会</t>
  </si>
  <si>
    <t>协访；重点客户学术资源；区域专家支持</t>
  </si>
  <si>
    <t>袁宝玉</t>
  </si>
  <si>
    <t>加强头痛患者筛查及鉴别诊断意识</t>
  </si>
  <si>
    <t>头痛前沿科学内容；患者管理项目</t>
  </si>
  <si>
    <t>陆玲</t>
  </si>
  <si>
    <t>门诊识别耳蜗型和前庭性偏头痛，提高诊断率</t>
  </si>
  <si>
    <t>VM专病建设经验、VM学术活动</t>
  </si>
  <si>
    <t>丁小琼</t>
  </si>
  <si>
    <t>加强耳鼻喉科头晕患者中的偏头痛识别</t>
  </si>
  <si>
    <t>耳鼻喉-神经内科跨科室平台；VM学术活动</t>
  </si>
  <si>
    <t>任庆国</t>
  </si>
  <si>
    <t>了解客户临床诊疗痛点，寻找学术沟通切入点</t>
  </si>
  <si>
    <t>典型患者画像工具；指南/共识；正面病例故事</t>
  </si>
  <si>
    <t>李晓莉</t>
  </si>
  <si>
    <t>提高拜访频率、提高诊断率</t>
  </si>
  <si>
    <t>典型患者画像工具；正反馈病例集</t>
  </si>
  <si>
    <t>王登元</t>
  </si>
  <si>
    <t>治痛管理大师（Super Ambassador）</t>
  </si>
  <si>
    <t>门诊号源增加；dot延长（随访），提高正反馈</t>
  </si>
  <si>
    <t>助力沟通恢复门诊号源；长病程管理，敦促患者随访，增强客户用药信心</t>
  </si>
  <si>
    <t>月2-3场会议，psr协助随访</t>
  </si>
  <si>
    <t>燕兰云</t>
  </si>
  <si>
    <t>头痛眩晕</t>
  </si>
  <si>
    <t>中青年平台建设；客户发展规划；完善患者管理及随访</t>
  </si>
  <si>
    <t>齐恒致远平台搭建；客户学术成长资源；患者管理项目支持；MDT联动</t>
  </si>
  <si>
    <t>顾萍</t>
  </si>
  <si>
    <t>coe卫健委项目；dot延长，提高复诊率；患者管理（随访）</t>
  </si>
  <si>
    <t>coe专家评审会议推进；患者随访管理</t>
  </si>
  <si>
    <t>coe会议支持；患者管理项目支持</t>
  </si>
  <si>
    <t>董欣</t>
  </si>
  <si>
    <t>头痛/眩晕</t>
  </si>
  <si>
    <t>患者画像梳理；典型病例整理；围绕临床难点开展针对性交流</t>
  </si>
  <si>
    <t>头痛亚专科建设经验；中青年平台的加入；讲者级别升级</t>
  </si>
  <si>
    <t>曾彦英</t>
  </si>
  <si>
    <t>进一步提升客户对老年门头晕患者筛查及鉴别诊断的关注度</t>
  </si>
  <si>
    <t>病例整理；病例交流；强化患者识别及鉴别诊断思路</t>
  </si>
  <si>
    <t>协访；典型病例医学支持；LB/GD活动</t>
  </si>
  <si>
    <t>史兆春</t>
  </si>
  <si>
    <t>赵晓埝</t>
  </si>
  <si>
    <t>协助客户梳理vm患者特征及就诊路径；传递相关患者的优势治疗方案</t>
  </si>
  <si>
    <t>VM学术活动明确诊断和治疗策略；vm建设经验分享</t>
  </si>
  <si>
    <t>李陶然</t>
  </si>
  <si>
    <t>续方；头痛患者推荐头痛专家门诊</t>
  </si>
  <si>
    <t>既往患者进行阶段性反馈收集，关注疗效和后续需求；做好专诊交接</t>
  </si>
  <si>
    <t>头痛专病管理经验；vm跨科室经验分享</t>
  </si>
  <si>
    <t>孙美</t>
  </si>
  <si>
    <t>沈飞飞</t>
  </si>
  <si>
    <t>提高拜访频率，共识典型患者画像和治疗方案</t>
  </si>
  <si>
    <t>pim客情学术覆盖；传递优势患者画像同时跟进用药反馈</t>
  </si>
  <si>
    <t>马静</t>
  </si>
  <si>
    <t>共识前庭性偏头痛患者画像，严重患者推到专家门诊</t>
  </si>
  <si>
    <t>识别符合共识的前庭性偏头痛患者，做好分层管理，将复杂患者转诊至专家门诊，提升诊疗规范化。</t>
  </si>
  <si>
    <t>VM专病建设经验、vm学术活动</t>
  </si>
  <si>
    <t>武茜</t>
  </si>
  <si>
    <t>提升现有患者的持续管理及复诊转化，共识典型患者画像和治疗方案</t>
  </si>
  <si>
    <t>基于共识典型患者画像与治疗方案，强化现有患者持续管理，提升复诊转化</t>
  </si>
  <si>
    <t>典型患者画像工具；正面病例故事集</t>
  </si>
  <si>
    <t>高甜文</t>
  </si>
  <si>
    <t>陈伟贤</t>
  </si>
  <si>
    <t>增加pim沟通频次；gd学术覆盖；持续跟进病例反馈</t>
  </si>
  <si>
    <t>线下PO的融动</t>
  </si>
  <si>
    <t>李芳丽</t>
  </si>
  <si>
    <t>与燕主任MDT联动</t>
  </si>
  <si>
    <t>陈智斌</t>
  </si>
  <si>
    <t>梳理耳鼻喉科常见头晕耳鸣患者类型，通过gd会学术沟通明确诊断</t>
  </si>
  <si>
    <t>葛颂</t>
  </si>
  <si>
    <t>共识典型患者画像和治疗方案，探索脑血管病患者中的头痛相关诊疗需求</t>
  </si>
  <si>
    <t>依托共识典型患者画像及治疗方案，挖掘脑血管病患者的头痛诊疗需求，开展针对性临床干预。</t>
  </si>
  <si>
    <t>脑血管病、头痛跨领域资源</t>
  </si>
  <si>
    <t>史倞</t>
  </si>
  <si>
    <t>卵圆孔未闭伴头痛患者尝试使用</t>
  </si>
  <si>
    <t>梳理卵圆孔未闭与头痛共存病例</t>
  </si>
  <si>
    <t>pfo相关前沿医学资料；心脑血管跨科室学术平台；</t>
  </si>
  <si>
    <t>陈柯言</t>
  </si>
  <si>
    <t>孙伟</t>
  </si>
  <si>
    <t>共识卵圆孔未闭伴偏头痛患者，尝试使用</t>
  </si>
  <si>
    <t>梳理卵圆孔未闭与头痛共存病例，进行跨科室沟通</t>
  </si>
  <si>
    <t>秦晓旋</t>
  </si>
  <si>
    <t>头痛专病管理经验；跨领域学术交流</t>
  </si>
  <si>
    <t>刘德志</t>
  </si>
  <si>
    <t>张浩</t>
  </si>
  <si>
    <t>共识卵圆孔未闭伴头痛患者</t>
  </si>
  <si>
    <t>结合客户接诊的相关患者，梳理卵圆孔未闭与头痛共存病例</t>
  </si>
  <si>
    <t>pfo相关前沿医学资料；心脑血管跨科室学术平台；相关专家资源</t>
  </si>
  <si>
    <t>马玉萍</t>
  </si>
  <si>
    <t>拜访传递瑞美在老年VM患者的治疗优势，探索脑血管病患者中的头痛相关诊疗需求</t>
  </si>
  <si>
    <t>刘东</t>
  </si>
  <si>
    <t>金善泉</t>
  </si>
  <si>
    <t>建立客户问题清单；匹配学术内容</t>
  </si>
  <si>
    <t>客户发展资源；区域专家平台</t>
  </si>
  <si>
    <t>李耀</t>
  </si>
  <si>
    <t>既往患者进行阶段性反馈收集，关注疗效和后续需求；做好专病门诊衔接</t>
  </si>
  <si>
    <t>患者管理项目；头痛专病门诊建设经验；患者教育资源</t>
  </si>
  <si>
    <t>蔡颖源</t>
  </si>
  <si>
    <t>共识典型患者画像和治疗方案</t>
  </si>
  <si>
    <t>病例复盘，总结客户认可的患者特征及治疗考虑因素；pim、gd会议覆盖</t>
  </si>
  <si>
    <t>陈若希</t>
  </si>
  <si>
    <t>邢光前</t>
  </si>
  <si>
    <t>探索耳鼻喉科与神经内科之间的头晕患者转诊机会</t>
  </si>
  <si>
    <t>梳理耳鼻喉科常见头晕患者类型，结合实际病例推动跨科室学术交流</t>
  </si>
  <si>
    <t>跨科室协同平台；VM学术活动</t>
  </si>
  <si>
    <t>李清照</t>
  </si>
  <si>
    <t>提升客户对前庭性偏头痛及相关鉴别诊断的关注</t>
  </si>
  <si>
    <t>协助客户梳理患者特征及就诊路径</t>
  </si>
  <si>
    <t>VM专病建设经验、学术活动</t>
  </si>
  <si>
    <t>陆小伟</t>
  </si>
  <si>
    <t>建立清晰头痛患者管理思路</t>
  </si>
  <si>
    <t>结合客户认知门诊特点，关注伴随头痛或存在头痛病史的患者，筛选具有进一步学术沟通价值的病例</t>
  </si>
  <si>
    <t>袁永胜</t>
  </si>
  <si>
    <t>从现有优势疾病领域出发，挖掘与头痛相关的患者需求，通过病例和学术交流逐步验证潜在机会</t>
  </si>
  <si>
    <t>程曦</t>
  </si>
  <si>
    <t>指南/共识；正面病例故事</t>
  </si>
  <si>
    <t>沈玉洁</t>
  </si>
  <si>
    <t>挖掘脑血管病患者中潜在的头痛诊疗需求</t>
  </si>
  <si>
    <t>头痛前沿科学内容；跨领域学术平台</t>
  </si>
  <si>
    <t>张倩倩</t>
  </si>
  <si>
    <t>王昊飞</t>
  </si>
  <si>
    <t>精神/心理科</t>
  </si>
  <si>
    <t>阶段性拜访计划；持续观察诊疗变化</t>
  </si>
  <si>
    <t>客户发展规划支持；正面病例故事</t>
  </si>
  <si>
    <t>王铮</t>
  </si>
  <si>
    <t>促进脑血管病领域客户对头痛问题的进一步关注</t>
  </si>
  <si>
    <t>门诊观察、病例沟通</t>
  </si>
  <si>
    <t>脑血管病、头痛跨领域资源；正面病例故事</t>
  </si>
  <si>
    <t>杨文平</t>
  </si>
  <si>
    <t>头痛前沿内容，合并特殊人群的诊治经验</t>
  </si>
  <si>
    <t>王尧智</t>
  </si>
  <si>
    <t>陈兰兰</t>
  </si>
  <si>
    <t>头痛患者不集中，患者画像局限，希望做头痛专家</t>
  </si>
  <si>
    <t>门诊导诊台引流，患者画像拓展（vm、耳偏等），头痛中心平台搭建</t>
  </si>
  <si>
    <t>po、三方、LB</t>
  </si>
  <si>
    <t>于海龙</t>
  </si>
  <si>
    <t>偏头痛患者不集中</t>
  </si>
  <si>
    <t>开设头痛门诊，增加头痛患者人数</t>
  </si>
  <si>
    <t>吕翔</t>
  </si>
  <si>
    <t>无偏头痛标签</t>
  </si>
  <si>
    <t>增加偏头痛标签</t>
  </si>
  <si>
    <t>马灿灿</t>
  </si>
  <si>
    <t>刘筱洁</t>
  </si>
  <si>
    <t>推荐话术不足，心态急躁</t>
  </si>
  <si>
    <t>优化话术，psr随访，筛选优质患者</t>
  </si>
  <si>
    <t>吴健</t>
  </si>
  <si>
    <t>诊疗路径不清晰，偏头痛诊断经验不足，患者画像不清晰</t>
  </si>
  <si>
    <t>诊疗三问，快速诊断筛选偏头痛患者，精确患者画像，优化医生推荐沟通话术</t>
  </si>
  <si>
    <t>李军</t>
  </si>
  <si>
    <t>三方、GD</t>
  </si>
  <si>
    <t>常玲美</t>
  </si>
  <si>
    <t>患者负反馈多，诊疗路径不清晰，偏头痛诊断经验不足，患者画像不清晰</t>
  </si>
  <si>
    <t>psr随访，积累用药正反馈，诊疗三问，快速诊断筛选偏头痛患者，精确患者画像，优化医生推荐沟通话术</t>
  </si>
  <si>
    <t>吴海生</t>
  </si>
  <si>
    <t>管菁菁</t>
  </si>
  <si>
    <t>李晓波</t>
  </si>
  <si>
    <t>朱艳</t>
  </si>
  <si>
    <t>刘佩佩</t>
  </si>
  <si>
    <t>马伟</t>
  </si>
  <si>
    <t>徐耀</t>
  </si>
  <si>
    <t>乔婷婷</t>
  </si>
  <si>
    <t>陈蓓蕾</t>
  </si>
  <si>
    <t>朱琳</t>
  </si>
  <si>
    <t>徐丽</t>
  </si>
  <si>
    <t>张炎</t>
  </si>
  <si>
    <t>1.目前专诊4次/月，患者需求未得到满足，可申请增加专诊频次至8次/月，扩大偏头痛患者覆盖；
2.从治痛管理向资深治痛管理进阶，强化偏头痛预防性治疗理念，带动更多患者从急性治疗转向急性全程管理；
3.既往确诊患者中，可筛选月发作≥2次的患者，根据指南启动预防治疗；
4.作为科室唯一A类客户及头痛亚专业带头人，可通过科室分享、病例讨论等形式带动B类客户观念提升。</t>
  </si>
  <si>
    <t>1.9月协助张炎主任提交头痛专诊加号申请，目标专诊从4次/月增至8次/月，同步协调门诊导医挂号引导；
2.每次专诊前递送偏头痛预防性治疗最新文献/指南摘要，重点沟通瑞美吉泮预防治疗的循证证据，目标9月新增预防治疗患者5例；
3.联合科室开展1次"偏头痛全程管理"病例讨论会，由张炎主任主讲，邀请神内全体医生参加，带动B类客户观念提升；
4.协助建立头痛专诊患者随访登记表，对月发作≥2次的患者主动随访并评估预防治疗需求，提升患者依从性和复购率。</t>
  </si>
  <si>
    <t>1.偏头痛预防性治疗最新指南/共识文献及循证医学资料包；
2.科室病例讨论会学术支持（讲者课件、会议场地、参会激励）；
3.头痛专诊患者随访登记表/患者教育手册等物料支持；
4.协助协调门诊办公室专诊加号审批流程；
5.上级医院头痛中心专家会诊/转诊资源对接。</t>
  </si>
  <si>
    <t>任洁明</t>
  </si>
  <si>
    <t>1.日常脑血管门诊中存在大量合并偏头痛/紧张型头痛的患者，目前识别率低，可建立门诊头痛筛查流程；
2.从止痛优选向治痛管理进阶，重点强化"早期足量、规范治疗"理念，减少患者自行用药不规范导致的疗效不佳；
3.每月8次门诊，患者基数充足，人均处方量仍有提升空间。</t>
  </si>
  <si>
    <t>1.9月拜访重点沟通"脑血管病合并偏头痛的共病管理"，提供相关循证医学资料，目标每次门诊识别2-3例头痛患者；
2.协助在普通门诊中建立头痛患者快速筛查流程（头痛频率+程度+既往用药），对中重度偏头痛患者推荐规范治疗；
3.邀请参加张炎主任主持的科室病例讨论会，学习治痛管理经验，目标9月观念提升至治痛管理层级；
4.目标9月处方量达标，新增急性治疗患者3例，其中至少1例评估预防治疗需求。</t>
  </si>
  <si>
    <t>1.脑血管病合并偏头痛共病管理循证资料及病例集；
2.门诊头痛患者快速筛查表（纸质版/电子版）；
3.科室病例讨论会参会名额及学习资料；
4.偏头痛急性期治疗患者教育手册；
5.瑞美吉泮急性治疗临床数据速查卡。</t>
  </si>
  <si>
    <t>马召玺</t>
  </si>
  <si>
    <t>1.目前处于处方习惯养成关键期，需持续强化观念、稳定处方行为；
2.每月8次门诊，患者基数大，目前头痛患者识别和处方率极低；
3.从阶梯治疗向短期治痛进阶，重点强化偏头痛急性期"早期用药、足量给药"的治疗原则。</t>
  </si>
  <si>
    <t>1.9月增加拜访频率至每两周1次，每次拜访携带1个典型偏头痛治疗病例，持续强化急性期规范治疗观念；
2.提供瑞美吉泮急性治疗快速起效（2小时无痛率）的临床数据及患者用药体验分享，建立处方信心；
3.协助在门诊中识别中重度偏头痛发作患者，尤其是既往使用曲坦类/非甾体疗效不佳或有禁忌的患者；
4.目标9月新增首方患者4例，实现稳定处方。</t>
  </si>
  <si>
    <t>1.瑞美吉泮急性治疗快速起效临床数据及患者用药体验分享；
2.典型偏头痛治疗病例集（每周1例更新）；
3.门诊头痛患者识别筛查工具；
4.曲坦类/非甾体疗效不佳患者的替代治疗方案资料；
5.新处方医生入门培训资料包。</t>
  </si>
  <si>
    <t>杨华</t>
  </si>
  <si>
    <t>1.目前处方量低且波动大，需分析原因、建立稳定处方习惯；
2、长期停留在阶梯治疗层级，需突破至短期治痛，提升对偏头痛急性期规范治疗的认知；
3.患者基数充足，目前头痛患者处方率极低，存在较大患者未被满足。</t>
  </si>
  <si>
    <t>1.9月首次拜访深入了解其处方习惯及顾虑，分析低处方原因（患者识别不足？疗效疑虑？用药习惯？），针对性制定突破策略；
2.提供偏头痛急性期治疗指南更新及早期足量用药的获益证据，纠正"先忍一忍、痛到不行再用药"的旧观念；
3.分享同科室任洁明、马召玺的处方增长经验，利用同伴效应建立处方信心；
4.目标9月实现至少6例患者使用，建立稳定处方习惯。</t>
  </si>
  <si>
    <t>1.偏头痛急性期治疗指南更新及早期足量用药获益证据；
2.同科室处方医生经验分享（病例讨论会/一对一交流）；
3.门诊头痛患者筛查流程及工具；
4.瑞美吉泮与常用止痛药对比资料；
5.患者用药反馈收集表及随访支持。</t>
  </si>
  <si>
    <t>钱小燕</t>
  </si>
  <si>
    <t>1.目前处方量低且波动大，需分析原因、建立稳定处方习惯探寻连续断方需分析原因并快速恢复；
2.从不管不治向阶梯治疗进阶，处于观念转变关键期，需持续输入偏头痛规范治疗理念；
3.5月处方患者的用药体验和疗效反馈是重新激活的重要抓手。</t>
  </si>
  <si>
    <t>1.9月首次拜访重点了解6-7月断方原因（患者流失？观念回退？药品可及性问题？），制定针对性恢复方案；
2.协助随访5月处方患者的用药体验和疗效，收集正向反馈并反馈给医生，重建处方信心；
3.每次拜访携带偏头痛诊疗指南摘要和典型病例，持续强化规范治疗观念，推动从不管不治向阶梯治疗转变；
4.目标9月至少3例患者持续使用。</t>
  </si>
  <si>
    <t>1.偏头痛诊疗指南摘要及典型病例资料
2.既往处方患者PSR随访支持（电话/微信随访模板）
3.断方原因分析及解决方案沟通框架；
4.患者教育手册及用药指导卡；
5.阶梯治疗阶段医生入门培训资料</t>
  </si>
  <si>
    <t>陆丽芸</t>
  </si>
  <si>
    <t>1.目前几乎无处方，需从零开始培养处方习惯，首方稳定是关键；
2.从不管不治直接向短期治痛跨越，说明潜力较大，需以急性治疗为切入点降低处方门槛；
3.每月8次门诊，患者基数大，头痛患者识别和处方几乎为空白。</t>
  </si>
  <si>
    <t>1.9月从零开始系统培养，每两周拜访1次，每次拜访携带1个典型偏头痛急性期治疗病例，从易理解的急性治疗切入；
2.重点沟通瑞美吉泮急性治疗的优势：口服便捷、快速起效、无药物过度使用风险，降低首次处方顾虑；
3.邀请参加科室学术活动及张炎主任的病例讨论会，提升偏头痛诊疗整体认知；
4.目标9月实现稳定首方，至少2-3例患者使用。</t>
  </si>
  <si>
    <t>1.瑞美吉泮急性治疗核心优势资料（便捷性/起效/安全性）；
2.典型偏头痛急性期治疗病例集（每两周1例）；
3.科室学术活动及病例讨论会参会邀请；
4.医生处方习惯培养
5.患者教育材料及用药体验分享视频</t>
  </si>
  <si>
    <t>王一鸣</t>
  </si>
  <si>
    <t>1.每月仅2次门诊，患者总量有限，需聚焦固定就诊的偏头痛患者进行深度管理；
2.5月有销售说明有处方能力，6-7月回落需重新激活；
3.门诊量少但患者固定度高，适合建立少数核心患者的长期管理模式。</t>
  </si>
  <si>
    <t>1.9月拜访了解其门诊患者结构，识别固定就诊的偏头痛患者名单，建立核心患者管理清单；
2.提供简洁明了的瑞美吉泮核心卖点资料（2小时无痛率、安全性好、使用方便），便于快速记忆和处方决策；
3.协助管理2-3例固定偏头痛患者，建立用药反馈闭环，通过患者正向疗效反馈带动处方信心；</t>
  </si>
  <si>
    <t>1.瑞美吉泮核心信息速查卡（2小时无痛率/安全性/便捷性）；
2.固定偏头痛患者管理清单及随访模板；
3.患者用药反馈收集及正向反馈整理；
4.低门诊量医生精准患者识别工具；
5.偏头痛急性期治疗简明指南。</t>
  </si>
  <si>
    <t>张蕾</t>
  </si>
  <si>
    <t>1.了解断方，需了解原因并快速恢复处方；
2.寻找亚专业交叉机会，可能涉及多种神经系统疾病，合并头痛的患者识别机会多；
3.每月2次门诊，需精准识别和管理头痛患者。</t>
  </si>
  <si>
    <t>1.9月首次拜访了解7月断方原因，针对性解决问题，快速恢复处方；
2.针对其亚专业特点，沟通神经系统疾病（如癫痫、睡眠障碍等）合并头痛的共病管理，拓展处方场景；
3.提供瑞美吉泮与常用止痛药（非甾体、曲坦类）的对比资料，突出在特殊人群中的安全性优势；
4.目标9月恢复处方并稳定至少3例患者持续使用。</t>
  </si>
  <si>
    <t>1.神经系统疾病合并头痛共病管理资料；
2.瑞美吉泮与常用止痛药对比资料（特殊人群安全性）；
3.断方激活支持（既往患者随访、疗效反馈整理）；
4.跨亚专业偏头痛诊疗病例集；
5.患者教育手册。</t>
  </si>
  <si>
    <t>吴亚平</t>
  </si>
  <si>
    <t>1.抑郁焦虑与偏头痛共病率高达30-50%，其门诊存在大量未被识别的偏头痛患者，是重要的增量市场；
2.从未处方过，9月目标32片较高，首方突破是核心任务；
3.观念需从共病管理角度建立偏头痛治疗认知。</t>
  </si>
  <si>
    <t>1.9月重点攻克首方，首次拜访以"抑郁焦虑与偏头痛共病管理"为话题切入，提供共病流行病学及治疗指南资料；
2.沟通偏头痛与焦虑抑郁的双向影响机制，强调积极治疗偏头痛对改善患者整体精神状态的获益；
3.分享其他医院精神心理科/神经科抑郁焦虑亚专业医生使用瑞美吉泮的病例经验，降低跨亚专业处方顾虑；
4.目标9月实现首方。</t>
  </si>
  <si>
    <t>1.抑郁焦虑与偏头痛共病流行病学及治疗指南资料；
2.偏头痛与焦虑抑郁双向影响机制学术文献；
3.其他医院精神心理科/神经科使用病例经验分享；
4.共病患者筛查量表及管理工具；
5.跨亚专业学术会议参会邀请。</t>
  </si>
  <si>
    <t>缪桂华</t>
  </si>
  <si>
    <t>1.从未处方，每月8次门诊患者基数大，首方后增长潜力可观；
2.脑血管病患者中合并头痛的比例高，目前识别和处方几乎空白；
3.9月目标仅12片，先实现零的突破，建立处方习惯是首要任务。</t>
  </si>
  <si>
    <t>1.9月集中拜访实现首方，从急性治疗的便捷性和安全性切入，降低首次处方门槛；
2.了解其目前头痛患者的处方习惯（常用药物、处方频率），寻找替代或联合用药机会；
3.提供瑞美吉泮快速起效、无药物过度使用风险、心血管安全性好的核心资料，尤其针对脑血管病患者的安全性；
4.目标9月实现首方。</t>
  </si>
  <si>
    <t>1.瑞美吉泮核心优势资料
2.脑血管病患者用药安全性数据及文献；
3.零首方医生入门培训及病例集；
4.门诊头痛患者识别筛查工具；
5.常用头痛处方习惯调研及替代方案资料。</t>
  </si>
  <si>
    <t>丁小军</t>
  </si>
  <si>
    <t>1.头晕/眩晕专诊中约15-20%为前庭性偏头痛，目前诊断率低，是重要的增量机会；
2.每月4次专诊，患者来源精准，可建立前庭性偏头痛筛查和管理流程；
3.与神经内科头痛专诊建立转诊协作，提升前庭性偏头痛的诊疗水平。</t>
  </si>
  <si>
    <t>1.9月以前庭性偏头痛为核心切入点，提供前庭性偏头痛诊断标准（ICHD-3）及治疗指南资料；
2.协助在头晕眩晕专诊中建立前庭性偏头痛筛查流程（发作性眩晕+偏头痛特征+家族史），提高诊断率；
3.分享前庭性偏头痛使用瑞美吉泮急性和预防性治疗的病例和文献证据；
4.推动与神经内科头痛专诊建立转诊协作机制，目标9月首方并至少4例前庭性偏头痛患者使用。</t>
  </si>
  <si>
    <t>1.前庭性偏头痛诊断标准（ICHD-3）及治疗指南资料；
2.前庭性偏头痛筛查流程及鉴别诊断工具；
3.瑞美吉泮治疗前庭性偏头痛正反馈病例；
4.与神经内科头痛专诊转诊协作机制建立支持；
5.头晕眩晕专诊患者教育材料。</t>
  </si>
  <si>
    <t>谷李欣</t>
  </si>
  <si>
    <t>1.5月曾处方，6-7月断，需分析原因并快速恢复，5月患者的疗效反馈是关键抓手；
2.每月4次头晕眩晕专诊，前庭性偏头痛患者资源丰富，目前处方率低；
3.从不管不治向阶梯治疗进阶，处于观念转变期，需持续强化前庭性偏头痛规范治疗理念。</t>
  </si>
  <si>
    <t>1.9月首次拜访了解5月处方后6-7月断方原因，针对性解决问题，快速恢复处方；
2.协助随访5月处方患者的用药体验和疗效，收集正向反馈并反馈给医生，重建处方信心；
3.强化前庭性偏头痛的诊断和治疗观念，提供更多病例和文献支持，推动专诊中前庭性偏头痛筛查常规化；
4.目标9月恢复稳定处方至少4例患者持续使用。</t>
  </si>
  <si>
    <t>1.前庭性偏头痛诊断及治疗指南资料；
2.既往处方患者随访支持及疗效反馈整理；
3.前庭性偏头痛专诊筛查流程及工具；
4.瑞美吉泮治疗前庭性偏头痛病例集；
5.断方激活沟通框架及解决方案支持。</t>
  </si>
  <si>
    <t>邓建华</t>
  </si>
  <si>
    <t>1.从未处方，每月12次门诊患者基数大，头晕眩晕患者多，前庭性偏头痛识别机会大；
2.普通头晕门诊中前庭性偏头痛易被误诊为BPPV/梅尼埃病等，提高鉴别诊断能力可带来增量处方；
3.9月目标先实现零的突破。</t>
  </si>
  <si>
    <t>1.9月集中拜访实现首方，以前庭性偏头痛与其他眩晕疾病的鉴别诊断为切入点，提供诊断标准和鉴别要点；
2.提供简洁的前庭性偏头痛诊断标准和瑞美吉泮治疗证据，便于快速应用于门诊；
3.分享同科室丁小军、谷李欣的处方经验（如有），利用同伴效应建立处方信心；
4.目标9月实现首方，至少2例患者使用。</t>
  </si>
  <si>
    <t>1.前庭性偏头痛与其他眩晕疾病鉴别诊断资料；
2.前庭性偏头痛诊断标准简明手册及瑞美吉泮治疗证据；
3.同科室处方医生经验分享；
4.零首方医生入门培训资料包；
5.门诊眩晕患者筛查工具。</t>
  </si>
  <si>
    <t>任亮</t>
  </si>
  <si>
    <t>1.从未处方，每月12次门诊，头晕眩晕患者基数大，前庭性偏头痛识别空白；
2.与邓建华同为耳鼻喉科无专诊C类客户，可联动拜访营造科室处方氛围；
3.普通门诊医生对前庭性偏头痛认知不足，提升诊断能力是处方增长的前提。</t>
  </si>
  <si>
    <t>1.9月与邓建华联动拜访，营造耳鼻喉科前庭性偏头痛诊疗和处方氛围，降低单个医生的处方顾虑；
2.以前庭性偏头痛为核心话题，系统提供诊断标准、鉴别诊断和治疗指南资料，提升门诊诊疗能力；
3.先从1-2例典型发作性眩晕伴偏头痛特征的患者入手，建立处方信心，逐步扩大处方范围；
4.目标9月实现首方，至少2例患者使用。</t>
  </si>
  <si>
    <t>1.前庭性偏头痛诊断标准、鉴别诊断及治疗指南系统资料；
2.与邓建华联动拜访的科室学术活动支持；
3.典型前庭性偏头痛病例集（从入门到进阶）；
4.零首方医生处方信心建立工具包；
5.门诊眩晕患者筛查流程及工具。</t>
  </si>
  <si>
    <t>韩影</t>
  </si>
  <si>
    <t>集中专病门诊（周三下午纯专诊，周五合并专诊砍掉）、提高诊断率</t>
  </si>
  <si>
    <t>疼痛科平台讲者观念输出，9月份301连线，协助依从性管理，建立正反馈和数据库</t>
  </si>
  <si>
    <t>疼痛科平台，讲课平台，疼痛相应学会学组任职，搭/融圈子</t>
  </si>
  <si>
    <t>马超</t>
  </si>
  <si>
    <t>归拢患者、提高诊断率、优化推荐话术</t>
  </si>
  <si>
    <t>病例整理，门诊跟诊推荐话术跟进，帮助识别特异性患者画像</t>
  </si>
  <si>
    <t>观念好的圈子融动</t>
  </si>
  <si>
    <t>张清秀</t>
  </si>
  <si>
    <t>高级头痛中心、巴拉尼协会会员</t>
  </si>
  <si>
    <t>26号答辩通过后跟进高级头痛中心的升级、COE体系和培训的平台、教学门诊SOP和人才输送、流调全国平台宣传</t>
  </si>
  <si>
    <t>程彬和大区的COE沟通和升级、全国会的推荐、各个主委和中心的融动、流调PSR团队的协作</t>
  </si>
  <si>
    <t>孟海兰</t>
  </si>
  <si>
    <t>增加专病门诊、增加号源、提高诊断率</t>
  </si>
  <si>
    <t>制作个人PPT以鼓励参会积极性，进而提高诊断率；复诊患者增多后增设专病门诊</t>
  </si>
  <si>
    <t>中青年平台任职、省内线下三方</t>
  </si>
  <si>
    <t>嵇碧莹</t>
  </si>
  <si>
    <t>减少患者流失、鼓励检查和治疗一起开</t>
  </si>
  <si>
    <t>制作专属随访名片发放给偏头痛患者，上附随访微信二维码</t>
  </si>
  <si>
    <t>线上三方/线上PO</t>
  </si>
  <si>
    <t>赵燕</t>
  </si>
  <si>
    <t>加入头痛团队、规范化头痛诊疗、合作排他性</t>
  </si>
  <si>
    <t>专属随访名片、提供规范化诊疗工具</t>
  </si>
  <si>
    <t>老板协访谈及合作浓度和排他性</t>
  </si>
  <si>
    <t>杨丹</t>
  </si>
  <si>
    <t>学术资料和正反馈病例定期更新传递</t>
  </si>
  <si>
    <t>LB覆盖，拓宽学术视野</t>
  </si>
  <si>
    <t>PO/线上会讨论嘉宾（？</t>
  </si>
  <si>
    <t>频繁GD覆盖，提高合作意向</t>
  </si>
  <si>
    <t>提高GD覆盖率、多刷脸</t>
  </si>
  <si>
    <t>线上会讨论</t>
  </si>
  <si>
    <t>黄丽丽</t>
  </si>
  <si>
    <t>学术资料和正反馈病例定期更新传递、认知障碍相关课题</t>
  </si>
  <si>
    <t>PO和LB听众</t>
  </si>
  <si>
    <t>认知障碍相关课题设计和落地方案</t>
  </si>
  <si>
    <t>黄嵘</t>
  </si>
  <si>
    <t>已退休，维护即可</t>
  </si>
  <si>
    <t>提高拜访频次</t>
  </si>
  <si>
    <t>暂无</t>
  </si>
  <si>
    <t>徐运</t>
  </si>
  <si>
    <t>亚专科建设，头痛病房推进</t>
  </si>
  <si>
    <t>提高对头痛发展的人员配置和支持度、提高质控建设</t>
  </si>
  <si>
    <t>老板协访谈及质控建设、扩大头痛团队</t>
  </si>
  <si>
    <t>刘晶</t>
  </si>
  <si>
    <t>改变处方习惯，提高VM诊断率和推荐率，正反馈传递</t>
  </si>
  <si>
    <t>院内LB院外PO和三方全方位覆盖；使用头晕眩晕问诊模版规范化诊疗；优化推荐话术</t>
  </si>
  <si>
    <t>省内三方会（外部专家观念影响）、老板协访</t>
  </si>
  <si>
    <t>李顺</t>
  </si>
  <si>
    <t>扭转对患者需求的认知、性价比不足的认知</t>
  </si>
  <si>
    <t>GD覆盖、讲患者故事</t>
  </si>
  <si>
    <t>赵华</t>
  </si>
  <si>
    <t>门诊识别耳蜗型偏头痛</t>
  </si>
  <si>
    <t>偏头痛相关的耳部症状传递</t>
  </si>
  <si>
    <t>王晓云</t>
  </si>
  <si>
    <t>GD覆盖、提高门诊拜访频率</t>
  </si>
  <si>
    <t>王中原</t>
  </si>
  <si>
    <t>共识先兆型偏头痛患者治疗推荐</t>
  </si>
  <si>
    <t>对于先兆型偏头痛患者正反馈病例进行传递</t>
  </si>
  <si>
    <t>沙杜鹃</t>
  </si>
  <si>
    <t>拓科拜访和沟通跟进</t>
  </si>
  <si>
    <t>跟进拓展处方科室权限事宜，提供相关帮助支持</t>
  </si>
  <si>
    <t>老板协访表达合作诚意</t>
  </si>
  <si>
    <t>吴家勇</t>
  </si>
  <si>
    <t>病房拜访</t>
  </si>
  <si>
    <t>固定时间段病房拜访（实习生）</t>
  </si>
  <si>
    <t>朱晓蕾</t>
  </si>
  <si>
    <t>病房拜访，逻辑上讲通性价比问题，疗效上充足信心</t>
  </si>
  <si>
    <t>固定时间段病房拜访</t>
  </si>
  <si>
    <t>赵辉</t>
  </si>
  <si>
    <t>亚专科方向不符（AD），拜访转诊/友商推荐</t>
  </si>
  <si>
    <t>核对出诊时间和头痛门诊转诊时间表，具体转诊人</t>
  </si>
  <si>
    <t>赵定亮</t>
  </si>
  <si>
    <t>提高患者归拢率、研究发文章</t>
  </si>
  <si>
    <t>制作随访名片、调换专病门诊时间、患者量有一定基础后研究文章即可提上日程</t>
  </si>
  <si>
    <t>江北建立完善的转诊处方机制、疼痛科项目、痛未主的PO会</t>
  </si>
  <si>
    <t>张小莉</t>
  </si>
  <si>
    <t>扭转观念：治疗必要性、失能危害、患者治疗预期、患者沟通方式；给信心、走出去</t>
  </si>
  <si>
    <t>高频拜访GD覆盖，mdt的LB尽量邀请、教学门诊提前一周预约</t>
  </si>
  <si>
    <t>戴艳红</t>
  </si>
  <si>
    <t>诊断率，中耳炎共病偏头痛识别，梅尼埃偏头痛谱系认知</t>
  </si>
  <si>
    <t>偏头痛相关耳部症状信息传递、尤其vm误诊为md/md患者用vm疗法治好的正反馈病例、VM机制</t>
  </si>
  <si>
    <t>魏浩</t>
  </si>
  <si>
    <t>使用眩晕问诊模版提高vm诊断率、尝试处方</t>
  </si>
  <si>
    <t>赠药2-3粒、推广普及眩晕问诊模版的使用方式及好处，GD覆盖LB尝试覆盖</t>
  </si>
  <si>
    <t>钱来</t>
  </si>
  <si>
    <t>9-11月南部院区，暂无渠道</t>
  </si>
  <si>
    <t>线上定期沟通交流、分享会议信息</t>
  </si>
  <si>
    <t>南部院区渠道打通</t>
  </si>
  <si>
    <t>沈迪文</t>
  </si>
  <si>
    <t>心理科识别VM患者的课题设计跟进、江北转诊机制完善、提高推荐率</t>
  </si>
  <si>
    <t>mdtLB覆盖，多学科三方会覆盖，课题设计跟进和提供帮助、随访</t>
  </si>
  <si>
    <t>南京焦虑抑郁专属PO、多学科三方会</t>
  </si>
  <si>
    <t>吕海宁</t>
  </si>
  <si>
    <t>月经性偏头痛的诊断率和处方信心</t>
  </si>
  <si>
    <t>病房拜访，月经性偏头痛女性负担和诊断工具，明确患者画像，红旗征和绿棋征（实习生）</t>
  </si>
  <si>
    <t>王合艳</t>
  </si>
  <si>
    <t>提高对VM疾病认知</t>
  </si>
  <si>
    <t>mdtLB邀请、PO会听众</t>
  </si>
  <si>
    <t>李臻</t>
  </si>
  <si>
    <t>江北建立完善的转诊机制承接方</t>
  </si>
  <si>
    <t>定期拜访（每周一次）、共识其他科室推过来的患者处理</t>
  </si>
  <si>
    <t>莫雨婷</t>
  </si>
  <si>
    <t>陈敏敏</t>
  </si>
  <si>
    <t>老年科识别典型患者画像</t>
  </si>
  <si>
    <t>mdtLB可邀请</t>
  </si>
  <si>
    <t>LB听众、可发展头痛团队老年科一员</t>
  </si>
  <si>
    <t>卢正娟</t>
  </si>
  <si>
    <t>病房拜访、性价比观念</t>
  </si>
  <si>
    <t>传递预防疗法的长期性价比</t>
  </si>
  <si>
    <t>曹昀</t>
  </si>
  <si>
    <t>陶文渊</t>
  </si>
  <si>
    <t>提高诊断率和推荐率</t>
  </si>
  <si>
    <t>提高拜访频率，提高性价比观念；提供诊断工具辅助快速诊断；实习生可跟诊</t>
  </si>
  <si>
    <t>陆水平</t>
  </si>
  <si>
    <t>焦虑抑郁共病偏头痛患者</t>
  </si>
  <si>
    <t>偏头痛诊断，治疗</t>
  </si>
  <si>
    <t>病例、GD</t>
  </si>
  <si>
    <t>陈瑜</t>
  </si>
  <si>
    <t>史家波</t>
  </si>
  <si>
    <t>GD、焦虑抑郁共病偏头痛研究协助</t>
  </si>
  <si>
    <t>江付利</t>
  </si>
  <si>
    <t>周敏</t>
  </si>
  <si>
    <t>柳绪珍</t>
  </si>
  <si>
    <t>武欣</t>
  </si>
  <si>
    <t>余传勇</t>
  </si>
  <si>
    <t>增加患者数</t>
  </si>
  <si>
    <t>自媒体运营拍摄</t>
  </si>
  <si>
    <t>定期协访赋能</t>
  </si>
  <si>
    <t>胡秀秀</t>
  </si>
  <si>
    <t>城市会交流</t>
  </si>
  <si>
    <t>刘红星</t>
  </si>
  <si>
    <t>增加患者画像、足量足疗程处方</t>
  </si>
  <si>
    <t>诊后问题分析，拜访解决问题；医患沟通话术</t>
  </si>
  <si>
    <t>江苏省头痛中心能力建设平台搭建，跟优秀open型客户交流，减少谨慎度。定期协访赋能</t>
  </si>
  <si>
    <t>郁媛文</t>
  </si>
  <si>
    <t>LB、线上会</t>
  </si>
  <si>
    <t>吴迪</t>
  </si>
  <si>
    <t>张利贞</t>
  </si>
  <si>
    <t>VM识别，高频/MOH偏头痛首选尝试</t>
  </si>
  <si>
    <t>优秀病例传递，会议转发</t>
  </si>
  <si>
    <t>病例收集建立正反馈</t>
  </si>
  <si>
    <t>余年</t>
  </si>
  <si>
    <t>癫痫共病偏头痛</t>
  </si>
  <si>
    <t>癫痫患者问诊技巧传递</t>
  </si>
  <si>
    <t>滕弘</t>
  </si>
  <si>
    <t>王凌玲</t>
  </si>
  <si>
    <t>病例收集建立正反馈，线上会</t>
  </si>
  <si>
    <t>刘斌</t>
  </si>
  <si>
    <t>VM患者尝试</t>
  </si>
  <si>
    <t>po会，线上会</t>
  </si>
  <si>
    <t>侯玉超</t>
  </si>
  <si>
    <t>江炜炜</t>
  </si>
  <si>
    <t>李峰</t>
  </si>
  <si>
    <t>优秀病例传递，会议转发，患者随访建议</t>
  </si>
  <si>
    <t>巴越</t>
  </si>
  <si>
    <t>陈道文</t>
  </si>
  <si>
    <t>GD会、讨论</t>
  </si>
  <si>
    <t>苗爱亮</t>
  </si>
  <si>
    <t>张燕芳</t>
  </si>
  <si>
    <t>葛剑卿</t>
  </si>
  <si>
    <t>会议讨论</t>
  </si>
  <si>
    <t>王迎新</t>
  </si>
  <si>
    <t>唐睩</t>
  </si>
  <si>
    <t>叶星</t>
  </si>
  <si>
    <t>过燕萍</t>
  </si>
  <si>
    <t>张书刚</t>
  </si>
  <si>
    <t>顾昊</t>
  </si>
  <si>
    <t>潘濛</t>
  </si>
  <si>
    <t>诊后问题分析，拜访解决问题；医患沟通话术诊后问题分析，优秀病例传递，会议转发</t>
  </si>
  <si>
    <t>葛剑青</t>
  </si>
  <si>
    <t>徐梦怡</t>
  </si>
  <si>
    <t>沟通重开眩晕专病门诊，15个号加到25个</t>
  </si>
  <si>
    <t>老板随访、三方会议、学会任职</t>
  </si>
  <si>
    <t>赵真</t>
  </si>
  <si>
    <t>门诊增加、号源、标签</t>
  </si>
  <si>
    <t>沟通增加听力与眩晕专病门诊，15个号加到25，跟进标签细化，个人号开启（视频剪辑、直播等）</t>
  </si>
  <si>
    <t>三方会议、LB/GD/PO、患教会、学会任职</t>
  </si>
  <si>
    <t>刘春梅</t>
  </si>
  <si>
    <t>门诊增加、诊疗路径</t>
  </si>
  <si>
    <t>1. 强化头痛专病门诊患者收拢，专病门诊沉淀头痛患者；2. 优化患者管理，提升个人学术影响力</t>
  </si>
  <si>
    <t>老板随访、邀请参加会议</t>
  </si>
  <si>
    <t>周俊山</t>
  </si>
  <si>
    <t>诊疗路径</t>
  </si>
  <si>
    <t>1. 在脑血管门诊中筛选合并头痛 / 头晕的患者；2. 落地标准化诊疗路径，识别目标患者，及时跟进回访，收集正反馈</t>
  </si>
  <si>
    <t>学术会议、患者宣教资料</t>
  </si>
  <si>
    <t>蒋腾</t>
  </si>
  <si>
    <t>梳理脑血管患者中头痛头晕人群，落地标准化诊疗路径，筛选目标患者</t>
  </si>
  <si>
    <t>学会学术会、学习班赞助</t>
  </si>
  <si>
    <t>王高峰</t>
  </si>
  <si>
    <t>增加PFO手术病人术前术后按需治疗方案</t>
  </si>
  <si>
    <t>LB/GD/PO、患教会</t>
  </si>
  <si>
    <t>徐静</t>
  </si>
  <si>
    <t>标签、诊疗路径</t>
  </si>
  <si>
    <t>1. 完善头痛头晕患者标签；2. 梳理门诊存量患者，搭建基础诊疗路径，识别目标患者</t>
  </si>
  <si>
    <t>三方会议、患者宣教资料</t>
  </si>
  <si>
    <t>1. 完善头晕眩晕患者标签；2. 梳理眩晕就诊患者，落地简易诊疗路径，筛选适配患者</t>
  </si>
  <si>
    <t>患者宣教资料、外部会议</t>
  </si>
  <si>
    <t>徐晨婕</t>
  </si>
  <si>
    <t>疼痛专诊</t>
  </si>
  <si>
    <t>1. 筛选疼痛同时合并头痛头晕的就诊患者；2. 落地疼痛相关诊疗路径，推荐神经阻滞＋瑞美治疗方案</t>
  </si>
  <si>
    <t>三方会议、LB/GD/PO、患教会、宣传物料</t>
  </si>
  <si>
    <t>张鲁平</t>
  </si>
  <si>
    <t xml:space="preserve">
标签/专诊/号源：门诊简介无标签，可通过标签完善与专诊提高归拢率
聚焦前庭性偏头痛(反复眩晕+头痛史)的识别，与BPPV/梅尼埃病鉴别，传递足量足疗程观念，以及患者管理的必要性</t>
  </si>
  <si>
    <t xml:space="preserve">
1每周2次深访，【专诊号源/标签】协同门诊推动开设耳鼻喉科眩晕专诊或增加专诊，增加标签，扩充号源以承接更多患者。
2聚焦前庭性偏头痛(反复眩晕+头痛史)的识别，与BPPV/梅尼埃病鉴别；对前庭性偏头痛患者定位瑞美吉泮在急性与频率管理中的价值；对患者启动治痛管理随访，记录MMD变化以强化观念。
邀请参与区域学术会议/科室沙龙并争取讲者/病例分享机会，带动眩晕/耳鼻喉组内观念</t>
  </si>
  <si>
    <t xml:space="preserve">
DM/RM/RPM协同拜访资源与区域学术会议名额。
患者教育材料与治痛管理工具包（随访表、MMD记录卡），支撑长期管理落地。
标杆医生培育资源：城市会/区域会讲者平台与青年医生带教支持</t>
  </si>
  <si>
    <t>蔡可夫</t>
  </si>
  <si>
    <t>1，目标升级至治痛管理——全方位认可疗效/频率/安全，将中高频患者治痛管理周期延长至6个月，实现疾病病程逆转，推动低频首选瑞美吉泮急性治疗、中高频启动治痛管理。2借助头痛中心申办成功，公众号宣传，归拢更多的偏头痛患者</t>
  </si>
  <si>
    <t>开展2次1对1学术拜访/周：全方位认可疗效/频率/安全，将中高频患者治痛管理周期延长至6个月，实现疾病病程逆转；用真实世界证据与指南传递瑞美吉泮疗效/频率/安全三位一体价值。
聚焦偏头痛"识别-诊断-治疗"路径：重点识别中高频发作(≥4天/月)及伴心脑血管风险的偏头痛患者，推动低频首选瑞美吉泮急性治疗、中高频启动治痛管理；对适合患者启动治痛管理随访，记录MMD变化以强化观念。
邀请参与区域学术会议/科室沙龙并争取讲者/病例分享机会，带动神经内科头痛专业组内观念传递。</t>
  </si>
  <si>
    <t>协同拜访资源与区域学术会议/沙龙名额/LB
患者教育材料与治痛管理工具包（随访表、MMD记录卡），支撑长期管理落地。
标杆医生培育资源：城市会/区域会讲者平台与青年医生带教，提高影响力</t>
  </si>
  <si>
    <t>李爱红</t>
  </si>
  <si>
    <t>1分层治疗方案的传递，必赢画像中高频患者必须足量足疗程治疗3-6个月，可逆转疾病进展 2 传递VM五大形态，对于PVM患者，首选瑞美3外部最新治疗方案的传递</t>
  </si>
  <si>
    <t>前置拜访，每周2次将中高频患者治痛管理周期延长至6个月，实现疾病病程逆转，优秀病例分享。PVM患者使用瑞美，正反馈传递，邀请参与区域学术会议/科室沙龙并争取讲者/病例分享机会，走出去</t>
  </si>
  <si>
    <t>PIM CALL/LB
患者教育材料与治痛管理工具包（随访表、MMD记录卡），支撑长期管理落地。
标杆医生培育资源：城市会/区域会讲者平台与青年医生带教，提高影响力</t>
  </si>
  <si>
    <t>柯开富</t>
  </si>
  <si>
    <t xml:space="preserve">强化对疗效/频率/安全中其余方面的认可，将管理周期从1-2个月延长至3个月治痛管理，降低患者每月头痛天数(MMD)。
聚焦偏头痛共病及脑血管风险人群：识别伴心脑血管基础疾病/卒中风险/PFO/脑白质病变的偏头痛患者，此类人群优先选用瑞美吉泮。
</t>
  </si>
  <si>
    <t xml:space="preserve">前置拜访，每周2次，诊后及时复盘开展1对1学术拜访：强化对疗效/频率/安全中其余方面的认可，将管理周期从1-2个月延长至3个月治痛管理，降低患者每月头痛天数(MMD)；
聚焦偏头痛共病及脑血管风险人群：识别伴心脑血管基础疾病/卒中风险/PFO/脑白质病变的偏头痛患者，此类人群优先选用瑞美吉泮；对适合患者启动治痛管理随访，以强化观念。
</t>
  </si>
  <si>
    <t xml:space="preserve">
DM/RM/RPM协同拜访,高质量会议邀请。
患者教育材料与治痛管理工具包（随访表、MMD记录卡），支撑长期管理落地。
</t>
  </si>
  <si>
    <t>尤小东</t>
  </si>
  <si>
    <t>强化对疗效/频率/安全中其余方面的认可，将管理周期从1个月延长至3个月治晕管理
诊疗路径识别：聚焦前庭性偏头痛(反复眩晕+头痛史)的识别，与BPPV/梅尼埃病鉴别 ，前庭性偏头痛患者足量足疗程治疗后，正反馈传递</t>
  </si>
  <si>
    <t xml:space="preserve">
。
1诊前拜访，聚焦前庭性偏头痛(反复眩晕+头痛史)的识别，与BPPV/梅尼埃病鉴别；对前庭性偏头痛患者定位瑞美吉泮在急性与频率管理中的价值；对患者启动治痛管理随访，记录MMD变化以强化观念。
2邀请参与区域学术会议/科室沙龙并争取讲者/病例分享机会，圈层搭建</t>
  </si>
  <si>
    <t>PIM CALL/LB
患者教育材料与治痛管理工具包（随访表、MMD记录卡），支撑长期管理落地。
标杆医生培育资源：城市会/区域会讲者平台与青年医生带教，学会任职</t>
  </si>
  <si>
    <t>曹茂红</t>
  </si>
  <si>
    <t>分层治疗方案传递，对中高频患者以及偏头痛合并心血管疾病的患者，偏头痛药物使用的禁忌</t>
  </si>
  <si>
    <t>增加拜访频率/周/1次传递心脑血管风险偏头痛患者的识别方法，使其认识到此类患者应优先选用瑞美吉泮（CGRP受体拮抗剂）进行急性治疗，而非一律从NSAIDs/曲坦起步，并扩大适应证内患者覆盖。
【诊疗路径】建立CGRP受体拮抗剂与偏头痛/头痛诊疗的有效关联，从零搭建相关患者的识别与处理意识；对适合患者启动治痛管理随访，记录MMD变化以强化观念。
安排参加科室会/城市沙龙，借助区域KOL观念辐射逐步实现从0到1的开发。</t>
  </si>
  <si>
    <t>樊兴娟</t>
  </si>
  <si>
    <t xml:space="preserve">传递心脑血管风险偏头痛患者的识别方法，使其认识到此类患者应优先选用瑞美吉泮进行治疗，而非从NSAIDs/曲坦起步。
标签：通过标签完善提升归拢率
诊疗路径识别：聚焦偏头痛共病及脑血管风险人群：识别伴心脑血管基础疾病/卒中风险/PFO/脑白质病变的偏头痛患，优先选用瑞美吉泮。
</t>
  </si>
  <si>
    <t>拜访频率1次/周，传递心脑血管风险偏头痛患者的识别方法，使其认识到此类患者应优先选用瑞美吉泮（CGRP受体拮抗剂）进行急性治疗，而非一律从NSAIDs/曲坦起步，并扩大适应证内患者覆盖。
【诊疗路径】建立CGRP受体拮抗剂与偏头痛/头痛诊疗的有效关联，从零搭建相关患者的识别与处理意识；对适合患者启动治痛管理随访，记录MMD变化以强化观念。
安排参加科室会/城市沙龙，借助区域KOL观念辐射逐步实现从0到1的开发。</t>
  </si>
  <si>
    <t xml:space="preserve">
DM/RM/RPM协同拜访,高质量会议邀请。
患者教育材料与治痛管理工具包，传递正反馈</t>
  </si>
  <si>
    <t>倪耀辉</t>
  </si>
  <si>
    <t>拜访1次/周，开展1对1学术拜访：传递心脑血管风险偏头痛患者的识别方法，使其认识到此类患者应优先选用瑞美吉泮（CGRP受体拮抗剂）进行急性治疗，而非一律从NSAIDs/曲坦起步；用真实世界证据与指南传递瑞美吉泮疗效/频率/安全三位一体价值。
【专诊号源】协同门诊推动开设神经内科头痛/眩晕专诊或增加专诊单元，扩充号源以承接更多患者。
【标签体系】推动建立244标签，提升医生在院内系统的偏头痛/眩晕标签识别与检索可见度。
【诊疗路径】聚焦偏头痛共病及脑血管风险人群：识别伴心脑血管基础疾病/卒中风险/PFO/脑白质病变的偏头痛患者，此类人群优先选用瑞美吉泮；对适合患者启动治痛管理随访，记录MMD变化以强化观念。
【学术触达】安排参加科室会/城市沙龙，借助区域KOL观念辐射逐步实现从0到1的开发。</t>
  </si>
  <si>
    <t>成亚琴</t>
  </si>
  <si>
    <t>前置拜访，诊后复盘。传递心脑血管风险偏头痛患者的识别方法，使其认识到此类患者应优先选用瑞美吉泮（CGRP受体拮抗剂）进行急性治疗，而非一律从NSAIDs/曲坦起步，并扩大适应证内患者覆盖。
【诊疗路径】建立CGRP受体拮抗剂与偏头痛/头痛诊疗的有效关联，从零搭建相关患者的识别与处理意识；对适合患者启动治痛管理随访，记录MMD变化以强化观念。
安排参加科室会/城市沙龙，借助区域KOL观念辐射逐步实现从0到1的开发。</t>
  </si>
  <si>
    <t>胡松群</t>
  </si>
  <si>
    <t xml:space="preserve">
。
1前置拜访，诊后复盘，聚焦前庭性偏头痛(反复眩晕+头痛史)的识别，与BPPV/梅尼埃病鉴别；对前庭性偏头痛患者定位瑞美吉泮在急性与频率管理中的价值；对患者启动治痛管理随访，记录MMD变化以强化观念。
2邀请参与区域学术会议/科室沙龙并争取讲者/病例分享机会，圈层搭建</t>
  </si>
  <si>
    <t>陈鑫</t>
  </si>
  <si>
    <t>分层治疗方案传递，对中高频患者以及偏头痛合并心血管疾病的患者，偏头痛药物使用的禁忌，传递足量足疗程治疗方案</t>
  </si>
  <si>
    <t>传递心脑血管风险偏头痛患者的识别方法，使其认识到此类患者应优先选用瑞美吉泮（CGRP受体拮抗剂）进行急性治疗，而非一律从NSAIDs/曲坦起步，并扩大适应证内患者覆盖。
【诊疗路径】建立CGRP受体拮抗剂与偏头痛/头痛诊疗的有效关联，从零搭建相关患者的识别与处理意识；对适合患者启动治痛管理随访，记录MMD变化以强化观念。
安排参加科室会/城市沙龙，借助区域KOL观念辐射逐步实现从0到1的开发。</t>
  </si>
  <si>
    <t xml:space="preserve">
协同拜访资源与区域学术会议/沙龙名额
患者教育材料与治痛管理工具包（随访表、MMD记录卡），支撑长期管理落地。</t>
  </si>
  <si>
    <t>张元媛</t>
  </si>
  <si>
    <t>张云峰</t>
  </si>
  <si>
    <t xml:space="preserve">
区域学术会议名额，LB召开
患者教育材料与治痛管理工具包（随访表、MMD记录卡），支撑长期管理落地。
标杆医生培育资源：城市会/区域会讲者平台与青年医生带教支持</t>
  </si>
  <si>
    <t>殷勇</t>
  </si>
  <si>
    <t xml:space="preserve">
。
1聚焦前庭性偏头痛(反复眩晕+头痛史)的识别，与BPPV/梅尼埃病鉴别；对前庭性偏头痛患者定位瑞美吉泮在急性与频率管理中的价值；对患者启动治痛管理随访，记录MMD变化以强化观念。
2邀请参与区域学术会议/科室沙龙并争取讲者/病例分享机会，圈层搭建</t>
  </si>
  <si>
    <t>蒋锐</t>
  </si>
  <si>
    <t>手术评估无需手术，高频/中频患者，使用瑞美足量足疗程治疗3-6月，可逆转疾病进展。术后出院患者，可出院带药，预防急性发作</t>
  </si>
  <si>
    <t>每次诊前拜访，手术评估无需手术，高频/中频患者，使用瑞美足量足疗程治疗3-6月，可逆转疾病进展。术后出院患者，可出院带药，预防急性发作</t>
  </si>
  <si>
    <t>PIM CALL/LB
患者教育材料与治痛管理工具包（随访表、MMD记录卡），支撑长期管理落地。
标杆医生培育资源：城市会/区域会讲者平台与青年医生带教，学会任职，提高影响力</t>
  </si>
  <si>
    <t>缪秀华</t>
  </si>
  <si>
    <t>传递目前疼痛科治疗现状，以及外部专家使用方案。分层治疗方案传递，使用瑞美足量足疗程治疗3-6月，可逆转疾病进展。</t>
  </si>
  <si>
    <t>李晓飞</t>
  </si>
  <si>
    <t>郑冬冬</t>
  </si>
  <si>
    <t>刘浩</t>
  </si>
  <si>
    <t>顾晓苏</t>
  </si>
  <si>
    <t>从『不管不治』破冰，建立CGRP与偏头痛诊疗关联，进入阶梯治疗（Tryer）。挂号系统显示其无专病门诊设置、月均8个半天非专诊（无专诊模块），tth目前基本为0（还没起量）。机会点：依托神经内科头痛/眩晕门诊推动开设专病门诊/增加号源，扩大患者触达；先把244标签和出诊简介里的头痛/眩晕标签补全，提升系统识别度；在脑血管门诊里识别偏头痛共病/血管风险人群(卒中风险/PFO/脑白质病变等)，这类人优先用瑞美吉泮；tth还基本是0，从0到1先把关联建起来，小步起量冲9月12片。</t>
  </si>
  <si>
    <t>1) 每月1-2次破冰拜访，传递CGRP受体拮抗剂与偏头痛规范诊疗的关联，逐步提升观念层级；
2) 协同院方/科室推动开设神经内科头痛/眩晕专病门诊或扩容号源，多接患者；
3) 推动补全244标签与出诊简介中的头痛/眩晕标签，让系统能检索到、患者能挂对号；
4) 在脑血管门诊里识别偏头痛共病/血管风险人群(卒中风险/PFO/脑白质病变等)，这类人优先用瑞美吉泮；对适合的患者启动治痛管理随访，用MMD变化说话；
5) 安排参加科室会/城市沙龙，借KOL观念辐射慢慢做起来；</t>
  </si>
  <si>
    <t>医学部审批通过的瑞美吉泮学术资料/幻灯（疗效·频率·安全·心脑血管风险定位）；
专诊开设与号源扩容的院方协调资源，以及244标签/出诊简介标签的系统录入支持；
MICS/DM协同拜访资源，区域学术会议/沙龙名额（含讲者、交通、会务）；
患者教育材料和治痛管理工具包（随访表、MMD记录卡）；
基础学术资料与新人破冰拜访带教支持。</t>
  </si>
  <si>
    <t>赵映红</t>
  </si>
  <si>
    <t>秦毅彬</t>
  </si>
  <si>
    <t>董政协</t>
  </si>
  <si>
    <t xml:space="preserve">
1.头晕专诊4次/月，传递VM五大形态观念，足量足疗程治疗；
2.可依托专诊平台建立VM患者全程管理随访体系，实现疾病病程逆转；
3.作为科室学术标杆，可通过病例分享、科室带教辐射带动神经内科及耳鼻喉科B/C类客户观念提升。</t>
  </si>
  <si>
    <t>1.每周2次深访，聚焦前庭性偏头痛（反复眩晕+头痛史）的ICHD-3诊断标准与鉴别诊断路径，强化VM患者"急性+预防"全程管理理念，推动治痛管理周期延长至6个月；
2.每次专诊前递送VM最新指南/共识及瑞美吉泮在前庭性偏头痛中的循证证据，目标9月新增VM规范治疗患者8例，其中启动预防性治疗≥3例；
3.协助建立头晕/眩晕专诊患者随访登记系统，记录MMD（每月头痛天数）及眩晕发作频率变化，以真实世界数据强化管理信心；
4.联合科室开展1次"前庭性偏头痛全程管理"病例讨论会，由董政协主任主讲，覆盖神经内科+耳鼻喉科全体目标客户，发挥标杆辐射效应；
5.邀请参与区域学术会议/城市会并争取讲者席位，输出VM诊疗经验，提升区域学术影响力。</t>
  </si>
  <si>
    <t>1.前庭性偏头痛ICHD-3诊断标准、VM与BPPV/梅尼埃病/最新指南/共识文献；
2.瑞美吉泮在前庭性偏头痛及偏头痛预防性治疗中的循证医学资料包（含2小时无痛率、长期安全性、MMD改善数据）；
3.头晕/眩晕专诊患者随访登记表、MMD记录卡及患者教育手册；
4.区域学术会议/城市会讲者平台与科室病例讨论会学术支持（讲者课件、会议场地、参会激励）；
5.MICS/DM协同拜访资源及上级医院眩晕中心专家会诊/转诊对接。</t>
  </si>
  <si>
    <t>李燕</t>
  </si>
  <si>
    <t>【分层治疗】传递分层治疗方案：针对中高频患者及偏头痛合并心血管疾病的患者，明确药物使用禁忌；同时传递足量足疗程的治疗方案。</t>
  </si>
  <si>
    <t>1) 传递心脑血管风险偏头痛患者的识别方法，使其认识到此类患者应优先选用瑞美吉泮（CGRP受体拮抗剂）进行急性治疗，而非一律从NSAIDs/曲坦起步，并扩大适应证内患者覆盖；
2) 【诊疗路径】建立CGRP受体拮抗剂与偏头痛/头痛诊疗的有效关联，从零搭建相关患者的识别与处理意识；对适合患者启动治痛管理随访、记录MMD变化以强化观念；
3) 安排参加科室会/城市沙龙，借助区域KOL观念辐射逐步实现从0到1的开发。</t>
  </si>
  <si>
    <t>【协同拜访】区域学术会议名额，LB召开。
【患者管理】患者教育材料及治痛管理工具包（随访表、MMD记录卡），支撑长期管理落地。
【标杆培育】城市会/区域会讲者平台与青年医生带教支持。</t>
  </si>
  <si>
    <t>朱向阳</t>
  </si>
  <si>
    <t xml:space="preserve">
1A类客户但观念仅处于阶梯治疗层级，传递分层治疗观念，中高频患者治疗3-6个月可逆转疾病进展，加速观念提升至止痛优选乃至治痛管理；
2.头痛专诊患者中高频发作（≥4天/月）比例高可推动全程管理模式；
</t>
  </si>
  <si>
    <t>1.9月每周1次专诊前拜访，重点传递偏头痛急性期规范治疗理念，强化瑞美吉泮"早期足量、2小时无痛"的临床价值，目标9月处方量提升至30，新增急性治疗患者5例；
2.递送偏头痛对月发作≥4天的患者推动启动足疗程治疗方案，
3.联合董政协主任开展头痛专诊病例交流，学习全程管理经验，目标9月观念提升至止痛优选层级；
5.协助头痛专诊患者随访登记</t>
  </si>
  <si>
    <t>1.偏头痛急性期及预防性治疗最新指南/共识文献；
2.瑞美吉泮急性+预防双适应证循证医学资料包；
3.244标签及出诊简介标签系统录入支持；
4.头痛专诊患者随访登记表、MMD记录卡及患者教育手册；
5.科室病例交流与学术带教资源。</t>
  </si>
  <si>
    <t>陈蓝</t>
  </si>
  <si>
    <t>【协同拜访】DM/RM/RPM协同拜访资源与区域学术会议名额。
【患者管理】患者教育材料及治痛管理工具包（随访表、MMD记录卡），支撑长期管理落地。
【标杆培育】城市会/区域会讲者平台与青年医生带教支持。</t>
  </si>
  <si>
    <t>秦阳</t>
  </si>
  <si>
    <t>【标签/专诊/号源】门诊简介暂无标签，可通过完善标签、增设或扩容专诊来提高患者归拢率。
【诊疗观念】聚焦前庭性偏头痛（反复眩晕+头痛史）的识别，与BPPV、梅尼埃病做好鉴别；传递足量足疗程观念，并强调患者长期管理的必要性。</t>
  </si>
  <si>
    <t>1) 每周2次深访，【专诊号源/标签】协同门诊推动开设耳鼻喉科眩晕专诊或增加专诊，补全标签、扩充号源以承接更多患者；
2) 聚焦前庭性偏头痛（反复眩晕+头痛史）的识别，与BPPV、梅尼埃病鉴别；对前庭性偏头痛患者定位瑞美吉泮在急性与频率管理中的价值，并启动治痛管理随访、记录MMD变化以强化观念；
3) 邀请参与区域学术会议/科室沙龙，争取讲者/病例分享机会，带动眩晕/耳鼻喉组内观念。</t>
  </si>
  <si>
    <t>朱连海</t>
  </si>
  <si>
    <t>1.从"不管不治"向"阶梯治疗"破冰，传递分层治疗观念，中高频患者治疗3-6个月可逆转疾病进展，加速观念提升至止痛优选乃至治痛管理；
2.伴心脑血管风险的偏头痛患者中，NSAIDs/曲坦类存在禁忌，CGRP受体拮抗剂具有差异化优势。</t>
  </si>
  <si>
    <t>1.9月安排1次深访，分析针对性解决顾虑；
2.每两周1次破冰拜访，传递CGRP受体拮抗剂与偏头痛规范诊疗的关联，逐步建立处方信心；
3.提供瑞美吉泮快速起效及心血管安全性数据，配合典型病例分享，目标9月重新实现首方并稳定至≥2例患者；
4.协助在脑血管门诊建立头痛患者快速筛查意识，对中重度偏头痛患者推荐规范治疗；
5.邀请参加科室病例讨论会，借助KOL观念辐射逐步实现从0到1的开发。</t>
  </si>
  <si>
    <t>1.偏头痛规范诊疗入门资料及CGRP受体拮抗剂作用机制科普；
2.瑞美吉泮快速起效及心血管安全性临床数据速查卡；
3.典型偏头痛治疗病例集（含脑血管共病案例）；
4.门诊头痛患者识别筛查工具；
5.MICS/DM协同破冰拜访资源及科室病例讨论会参会名额。</t>
  </si>
  <si>
    <t>吴昊</t>
  </si>
  <si>
    <t>杨家伟</t>
  </si>
  <si>
    <t>曹志勇</t>
  </si>
  <si>
    <t>1.出诊简介无头痛/眩晕标签，头痛共病患者识别率极低；
2.从"不管不治"向"阶梯治疗"破冰，需建立CGRP受体拮抗剂与偏头痛诊疗的基本关联；
3.每月4次门诊，患者基数有限但仍存在从0到1的开发机会；
4.伴心脑血管风险的偏头痛患者中，CGRP受体拮抗剂较NSAIDs/曲坦类具有安全性优势。</t>
  </si>
  <si>
    <t>1.9月每两周1次破冰拜访，传递CGRP受体拮抗剂与偏头痛规范诊疗的关联，重点沟通伴心脑血管风险患者的治疗选择；
2.提供瑞美吉泮心血管安全性数据及典型病例，建立基础处方信心，目标9月实现首方≥1例患者；
3.协助推动出诊简介头痛/眩晕标签完善，提升院内系统识别度；
4.邀请参加科室病例讨论会，借助KOL观念辐射逐步实现从0到1的开发。</t>
  </si>
  <si>
    <t>1.偏头痛规范诊疗入门资料及CGRP受体拮抗剂作用机制科普；
2.瑞美吉泮心血管安全性临床数据速查卡；
3.典型偏头痛治疗病例集（含脑血管共病案例）；
4.出诊简介标签系统录入支持；
5.DM协同破冰拜访资源及科室病例讨论会参会名额。</t>
  </si>
  <si>
    <t>陆珍辉</t>
  </si>
  <si>
    <t>郭啸鸣</t>
  </si>
  <si>
    <t>1.出诊简介无头痛/眩晕标签，头痛共病患者处于完全未开发状态；
2.从"不管不治"向"阶梯治疗"破冰，需建立偏头痛规范诊疗的基本认知；
3.每月4次门诊，需精准定位伴头痛症状且适合CGRP受体拮抗剂的患者；
4.可借助科室整体学术氛围提升，通过KOL辐射带动观念转变。</t>
  </si>
  <si>
    <t>1.9月每两周1次破冰拜访，传递偏头痛规范诊疗理念及CGRP受体拮抗剂作用机制，重点关注伴心脑血管风险患者的治疗选择；
2.提供瑞美吉泮临床数据及典型病例，建立基础处方信心，目标9月实现首方≥1例患者；
3.协助推动出诊简介头痛/眩晕标签完善；
4.邀请参加科室病例讨论会，借助KOL观念辐射逐步实现从0到1的开发。</t>
  </si>
  <si>
    <t>1.偏头痛规范诊疗入门资料及CGRP受体拮抗剂作用机制科普；
2.瑞美吉泮临床数据速查卡（疗效+安全性）；
3.典型偏头痛治疗病例集；
4.出诊简介标签系统录入支持；
5.DM协同破冰拜访资源及科室病例讨论会参会名额。</t>
  </si>
  <si>
    <t>邵良</t>
  </si>
  <si>
    <t>1.出诊简介已含头痛/眩晕标签，但尚未转化为首方；
2.从"不管不治"向"阶梯治疗"破冰，
3.中高频偏头痛患者中，CGRP受体拮抗剂具有差异化治疗优势。</t>
  </si>
  <si>
    <t>1.9月每两周1次破冰拜访，利用已有头痛标签基础，传递偏头痛规范诊疗理念及CGRP受体拮抗剂在伴心脑血管风险患者中的优先选择依据；
2.提供瑞美吉泮心血管安全性数据及典型病例，目标9月实现首方≥1例患者；
3.协助在门诊中建立头痛患者快速筛查意识，对中重度偏头痛患者推荐规范治疗；
4.邀请参加科室病例讨论会，借助KOL观念辐射推动观念提升。</t>
  </si>
  <si>
    <t>1.偏头痛规范诊疗入门资料及CGRP受体拮抗剂作用机制科普；
2.典型偏头痛治疗病例集（含脑血管共病案例）；
3.门诊头痛患者识别筛查工具；
4.DM协同破冰拜访资源及科室病例讨论会参会名额。</t>
  </si>
  <si>
    <t>汪晗</t>
  </si>
  <si>
    <t>王琨</t>
  </si>
  <si>
    <t>CDSS海报的投放；PSR跟诊引导；清秀主任门诊跟诊学习</t>
  </si>
  <si>
    <t>1.每周复盘CDSS扫码入组情况；2.出诊时间不固定，解决方案，患者群内提前预告下周出诊时间；3.跟诊学习，进一步提升诊断及话术，寻找突破思路，完善诊疗路径</t>
  </si>
  <si>
    <t>清秀主任门诊排期</t>
  </si>
  <si>
    <t>张晓恒</t>
  </si>
  <si>
    <t>流调投放；患者定期随访管理</t>
  </si>
  <si>
    <t>1.通过流调融动主任进阶；2.通过患者随访管理，积累病例，增强用药信心</t>
  </si>
  <si>
    <t>流调具体要求及融动，市场部及DM随访</t>
  </si>
  <si>
    <t>王乃东</t>
  </si>
  <si>
    <t>已预约小圈子宴请；有较好的合作意愿度、配合度</t>
  </si>
  <si>
    <t>1.通过小圈子宴请，加深客情及拓圈；2.邀请参加会议，做好资源覆盖</t>
  </si>
  <si>
    <t>DM及市场部共访</t>
  </si>
  <si>
    <t>李红云</t>
  </si>
  <si>
    <t>门诊出诊天数高，有处方经验，但是观念较为保守，认为价格高，服用托吡酯可解决大部分患者问题</t>
  </si>
  <si>
    <t>小圈子宴请，加强覆盖及拜访频率；Q4重点客户覆盖，提升治痛治晕观念</t>
  </si>
  <si>
    <t>三方会1场</t>
  </si>
  <si>
    <t>王海萍</t>
  </si>
  <si>
    <t>每周出眩晕专诊，门诊患者质量较高</t>
  </si>
  <si>
    <t>Q4通过会议覆盖提升产品认可度及观念，高频拜访融动</t>
  </si>
  <si>
    <t>刘敏</t>
  </si>
  <si>
    <t>具备一定的用药经验，但治痛理念还需持续融动提升</t>
  </si>
  <si>
    <t>小圈子宴请邀约，Q4会议覆盖</t>
  </si>
  <si>
    <t>杨绍楠</t>
  </si>
  <si>
    <t>治痛治晕理念较好，有处方经验，非常认可CGRP机制，但主攻方向为睡眠障碍，表示无法兼顾头痛</t>
  </si>
  <si>
    <t>每周门诊持续拜访，门诊也有一定的头痛患者群体，明确低中高频患者画像，做好跟进</t>
  </si>
  <si>
    <t>贾雪瑜</t>
  </si>
  <si>
    <t>已成功破冰，且获得病例正反馈</t>
  </si>
  <si>
    <t>持续跟进，抑郁焦虑共病偏头痛患者画像，参加会议讨论，增强用药信心</t>
  </si>
  <si>
    <t>心理科会议讨论1</t>
  </si>
  <si>
    <t>赵洪芹</t>
  </si>
  <si>
    <t>对于PFO有较多患者，且深耕PFO研究；参加9月份PFO会议</t>
  </si>
  <si>
    <t>对于PFO患者，可进一步融动，寻找生意机会</t>
  </si>
  <si>
    <t>王源</t>
  </si>
  <si>
    <t>脑血管病方向，门诊头痛患者优先选用院内产品，自费且院外产品拒绝合作</t>
  </si>
  <si>
    <t>利用病例正反馈及王琨主任，融动破冰</t>
  </si>
  <si>
    <t>付涛</t>
  </si>
  <si>
    <t>朱晓宁主任学会共同发起，借助学会及流调加强大客户管理，沟通医院临采提单</t>
  </si>
  <si>
    <t>对流调及学会事宜深入沟通，客情维护</t>
  </si>
  <si>
    <t>Q4三方会主持1</t>
  </si>
  <si>
    <t>纪彩丽</t>
  </si>
  <si>
    <t>已参加线下会议，对于产品机制较为认可，但在诊断方面存在提升空间</t>
  </si>
  <si>
    <t>目前有锁定患者，跟进破冰后，持续融动</t>
  </si>
  <si>
    <t>李慎玲</t>
  </si>
  <si>
    <t>参加神内耳鼻喉宴请，对于眩晕较感兴趣</t>
  </si>
  <si>
    <t>利用小圈子影响观念，先融动破传递病例正反馈</t>
  </si>
  <si>
    <t>三方会1/PO1</t>
  </si>
  <si>
    <t>赵仁亮</t>
  </si>
  <si>
    <t>眩晕门诊，是青医最早开始做眩晕的客户</t>
  </si>
  <si>
    <t>小圈子宴请融动，暂时不参会</t>
  </si>
  <si>
    <t>张栩</t>
  </si>
  <si>
    <t>参加过青医质控线下会议，对于产品较为认可，积极推荐中</t>
  </si>
  <si>
    <t>抑郁焦虑共病患者，病例反馈，科室内老师已有破冰，持续融动</t>
  </si>
  <si>
    <t>宋敬卉</t>
  </si>
  <si>
    <t>自身是偏头痛患者，对于产品疗效很认可</t>
  </si>
  <si>
    <t>病房主任，通过GD会议覆盖</t>
  </si>
  <si>
    <t>王亚男</t>
  </si>
  <si>
    <t>门诊偏头痛患者较少，既往无处方经验；但合作意愿度较高</t>
  </si>
  <si>
    <t>夜访跟进，明确患者画像，利用病例正反馈，融动处方破冰</t>
  </si>
  <si>
    <t>曲春晖</t>
  </si>
  <si>
    <t>融动加入头痛专诊，提升偏头痛诊断率，提高患者归拢率</t>
  </si>
  <si>
    <t xml:space="preserve">1、参加线上PO会议，同步其他区域优质病例，传递需要尽早治疗，足疗程治疗
2、每周三拜访复盘近期处方患者，收集足量足疗程病例_x000b_3、每月一次家访，增强客情
</t>
  </si>
  <si>
    <t>po会1季度1-2场，GD会议覆盖</t>
  </si>
  <si>
    <t>孙波</t>
  </si>
  <si>
    <t>增加头痛专诊量，提升偏头痛诊断率，提高患者归拢率，增加门诊标签</t>
  </si>
  <si>
    <t xml:space="preserve">1、开展GD会议，学习交流其他区域优质病例，方案，学习足量足疗程治疗，尽早治疗_x000b_2、做好患者管理，每周两次诊后拜访，收集正反馈病例，增强用药信心
</t>
  </si>
  <si>
    <t>三方会1季度1-2场，GD会议覆盖</t>
  </si>
  <si>
    <t>殷军波</t>
  </si>
  <si>
    <t xml:space="preserve">1、邀请参加GD会议，学习交流其他区域优质病例，方案，学习足量足疗程治疗，尽早治疗_x000b_2、做好患者管理，每周两次诊后拜访，收集正反馈病例，增强用药信心
</t>
  </si>
  <si>
    <t>刘淇丰</t>
  </si>
  <si>
    <t>GD会议覆盖</t>
  </si>
  <si>
    <t>石少波</t>
  </si>
  <si>
    <t>范勇</t>
  </si>
  <si>
    <t>孙辰辉</t>
  </si>
  <si>
    <t>潘惟华</t>
  </si>
  <si>
    <t>衣磊</t>
  </si>
  <si>
    <t>王金东</t>
  </si>
  <si>
    <t>王婷婷</t>
  </si>
  <si>
    <t>韩海斌</t>
  </si>
  <si>
    <t>温琳</t>
  </si>
  <si>
    <t>苏冰</t>
  </si>
  <si>
    <t>董译舒</t>
  </si>
  <si>
    <t>王新</t>
  </si>
  <si>
    <t>增加专诊量，提升偏头痛诊断率，提高患者归拢率，拓展患者画像</t>
  </si>
  <si>
    <t xml:space="preserve">1、与耳鼻喉科开展学术会议交流，突破vm患者_x000b_2、拓展患者类型（低中高CM/MOH,月偏），借助学术会议，实现新拓展画像破冰
3、门诊前提醒诊后门诊当天复盘患者，加强足疗程理念
4、增加专诊量，沟通增加挂号数至15个
</t>
  </si>
  <si>
    <t>三方会1场/月</t>
  </si>
  <si>
    <t>提升偏头痛诊断率，提高患者归拢率，拓展患者画像</t>
  </si>
  <si>
    <t xml:space="preserve">1、与耳鼻喉科开展学术会议交流，突破vm患者_x000b_2、拓展患者类型（低中高CM/MOH,月偏），借助学术会议，实现新拓展画像破冰
3、门诊前提醒诊后门诊当天复盘患者，加强足疗程理念
</t>
  </si>
  <si>
    <t>李永团</t>
  </si>
  <si>
    <t xml:space="preserve">1、沟通开展眩晕门诊，归拢患者
2、明确VM患者画像，每周二病房拜访一次做好患者管理病例收集_x000b_3、每次诊前提前沟通好足量足疗程方案，加强足疗程理念
</t>
  </si>
  <si>
    <t>孙铭宏</t>
  </si>
  <si>
    <t xml:space="preserve">1、沟通加入眩晕门诊，归拢患者
2、明确VM患者画像，每周二病房拜访一次做好患者管理病例收集_x000b_3、每次诊前提前沟通好足量足疗程方案，加强足疗程理念
</t>
  </si>
  <si>
    <t>李冬梅</t>
  </si>
  <si>
    <t>三方会1场/季度</t>
  </si>
  <si>
    <t>甄超</t>
  </si>
  <si>
    <t>高娴</t>
  </si>
  <si>
    <t>孙海敏</t>
  </si>
  <si>
    <t>李筱瑜</t>
  </si>
  <si>
    <t>辛露</t>
  </si>
  <si>
    <t xml:space="preserve">1、沟通增加眩晕门诊，归拢患者
2、明确VM患者画像，每周二病房拜访一次做好患者管理病例收集_x000b_3、每次诊前提前沟通好足量足疗程方案，加强足疗程理念
</t>
  </si>
  <si>
    <t>吴珠</t>
  </si>
  <si>
    <t>栗永生</t>
  </si>
  <si>
    <t>刘玉霞</t>
  </si>
  <si>
    <t>张群</t>
  </si>
  <si>
    <t xml:space="preserve">1、与耳鼻喉科开展学术会议交流，突破vm患者_x000b_2、拓展患者类型（低中高CM/MOH,月偏），借助学术会议，实现新拓展画像破冰
4、门诊前提醒诊后门诊当天复盘患者，加强足疗程理念
</t>
  </si>
  <si>
    <t>宋旭霞</t>
  </si>
  <si>
    <t xml:space="preserve">1、与耳鼻喉科开展学术会议交流，突破vm患者_x000b_2、拓展患者类型（低中高CM/MOH,月偏），借助学术会议，实现新拓展画像破冰
5、门诊前提醒诊后门诊当天复盘患者，加强足疗程理念
</t>
  </si>
  <si>
    <t>邓玮</t>
  </si>
  <si>
    <t xml:space="preserve">1、与耳鼻喉科开展学术会议交流，突破vm患者_x000b_2、拓展患者类型（低中高CM/MOH,月偏），借助学术会议，实现新拓展画像破冰
6、门诊前提醒诊后门诊当天复盘患者，加强足疗程理念
</t>
  </si>
  <si>
    <t>王粤</t>
  </si>
  <si>
    <t xml:space="preserve">1、与耳鼻喉科开展学术会议交流，突破vm患者_x000b_2、拓展患者类型（低中高CM/MOH,月偏），借助学术会议，实现新拓展画像破冰
7、门诊前提醒诊后门诊当天复盘患者，加强足疗程理念
</t>
  </si>
  <si>
    <t>谭梦姗</t>
  </si>
  <si>
    <t xml:space="preserve">1、与耳鼻喉科开展学术会议交流，突破vm患者_x000b_2、拓展患者类型（低中高CM/MOH,月偏），借助学术会议，实现新拓展画像破冰
8、门诊前提醒诊后门诊当天复盘患者，加强足疗程理念
</t>
  </si>
  <si>
    <t>宗昱</t>
  </si>
  <si>
    <t xml:space="preserve">1、与耳鼻喉科开展学术会议交流，突破vm患者_x000b_2、拓展患者类型（低中高CM/MOH,月偏），借助学术会议，实现新拓展画像破冰
9、门诊前提醒诊后门诊当天复盘患者，加强足疗程理念
</t>
  </si>
  <si>
    <t>宗煜</t>
  </si>
  <si>
    <t xml:space="preserve">1、与耳鼻喉科开展学术会议交流，突破vm患者_x000b_2、拓展患者类型（低中高CM/MOH,月偏），借助学术会议，实现新拓展画像破冰
10、门诊前提醒诊后门诊当天复盘患者，加强足疗程理念
</t>
  </si>
  <si>
    <t>张亮</t>
  </si>
  <si>
    <t>增加门诊（8月门诊减半直接影响销量），门诊宣传，诊疗路径mdt院内交流</t>
  </si>
  <si>
    <t xml:space="preserve">	1、沟通周天增加门诊半天，跟进头痛专诊运行，PO会区域间交流资深治痛管理理念 2、邀请作为院内学术分享讲者，输出头痛规范化诊疗结合疼痛科3、专诊内使用患者筛查工具和问卷，进一步挖掘标签患者，寻找增量机会点	</t>
  </si>
  <si>
    <t xml:space="preserve">头痛规范化诊疗循证资料、头痛患者科普宣教物料	</t>
  </si>
  <si>
    <t>李宏</t>
  </si>
  <si>
    <t>观念升级，眩晕门诊规范管理，患者随访</t>
  </si>
  <si>
    <t>1、会议和眩晕平台学习眩晕合并头痛共病（VM）诊疗理念，推动从短期对症治疗转向长期治痛管理；2、在眩晕专诊中识别标签患者，眩晕患者以及头痛患者管理，采用随访平台随访，学习zqx专家的诊疗思路</t>
  </si>
  <si>
    <t>VM临床文献、患者筛查量表，会议平台推荐，眩晕圈层打造</t>
  </si>
  <si>
    <t>贾春燕</t>
  </si>
  <si>
    <t>观念升级，建立专病门诊（9月），门诊宣传，</t>
  </si>
  <si>
    <t>1、门诊PSR跟诊，挖掘门诊头痛就诊患者标签；2、沟通阶梯治疗之后长期止痛优选的诊疗思路；3、提供临床病例，患者累计和管理</t>
  </si>
  <si>
    <t>临床资料，学术平台，病例交流机会</t>
  </si>
  <si>
    <t>孟超</t>
  </si>
  <si>
    <t>观念升级，神经阻滞门诊号源，慢性头痛患者优先</t>
  </si>
  <si>
    <t>1、神经阻滞专诊重点跟进，关注慢性疼痛头痛患者2、沟通阶梯治疗后短期治痛3、从小样本病例做起，逐步建立用药习惯</t>
  </si>
  <si>
    <t>GD，PO会议</t>
  </si>
  <si>
    <t>孙秀明</t>
  </si>
  <si>
    <t>观念升级，专诊规范运营，患者画像描绘</t>
  </si>
  <si>
    <t xml:space="preserve">1、出诊时段拜访，筛选慢性疼痛伴头痛病例 2、以阶梯治疗作为切入点，提供简单临床案例，保证连续处方 3、提供制作简短的临床口袋参考卡片	</t>
  </si>
  <si>
    <t>三方会议覆盖，区域交流</t>
  </si>
  <si>
    <t>滕继军</t>
  </si>
  <si>
    <t>观念升级，脑血管门诊，脑血管合并头痛，具备潜在患者机会</t>
  </si>
  <si>
    <t>1、优先用真实临床病例做切入，改变“不管不治”观念 2、先筛选合适轻症患者尝试，向止痛优选观念靠拢3、脑血管会议区域会交流</t>
  </si>
  <si>
    <t>杨丽英</t>
  </si>
  <si>
    <t>1、门诊拜访，重点沟通脑血管合并头痛的患者；2、用真实病例GD会议传递学术知识，建立产品认知；3、连续选用3哥患者跟进，主任收集患者使用反馈</t>
  </si>
  <si>
    <t>刘丽君</t>
  </si>
  <si>
    <t>于俊敏</t>
  </si>
  <si>
    <t>观念升级，MDT打造，转变诊疗观念，挖掘慢性疼痛合并头痛患者</t>
  </si>
  <si>
    <t>1、门诊拜访，挖掘慢性疼痛合并头痛患者机会点2、与神经内科结合，开设MDT专家头痛门诊</t>
  </si>
  <si>
    <t>三方会议覆盖，GD，区域交流</t>
  </si>
  <si>
    <t>寇德伟</t>
  </si>
  <si>
    <t>观念升级，患者标签识别</t>
  </si>
  <si>
    <t>1、出诊时段拜访，以阶梯治疗理念作为沟通起点；2、挑选典型劲源性头痛等头痛病例进行交流；3、寻求首次处方突破，先建立阶梯治疗认知</t>
  </si>
  <si>
    <t>杨博文</t>
  </si>
  <si>
    <t>观念升级，患者标签，识别耳鼻喉眩晕患者同时合并头痛</t>
  </si>
  <si>
    <t>1、门诊拜访，重点沟通耳源性眩晕，VM的识别以及用药；2、以治疗作为切入点，提供VM病例；3、筛选合适患者连续尝试使用</t>
  </si>
  <si>
    <t>黄天桥</t>
  </si>
  <si>
    <t>*</t>
  </si>
  <si>
    <t>于永鹏</t>
  </si>
  <si>
    <t>治痛治晕理念较好；合作意愿度高</t>
  </si>
  <si>
    <t>PSR患者管理随访，定期反馈，病例积累制作，融动主任病例分享，搭建区域交流平台</t>
  </si>
  <si>
    <t>三方会1</t>
  </si>
  <si>
    <t>朱晓宁</t>
  </si>
  <si>
    <t>眩晕学会的成立，眩晕门诊推动</t>
  </si>
  <si>
    <t>9月底募集号委员名单，协助主任做好平台搭建，中青年圈子</t>
  </si>
  <si>
    <t>学会资源支持，DM及市场部协防</t>
  </si>
  <si>
    <t>葛洪洲</t>
  </si>
  <si>
    <t>治痛治晕理念较好；推荐率、提及率较高，配合度高，话术有待提升</t>
  </si>
  <si>
    <t>病例积累分享；提供交流平台</t>
  </si>
  <si>
    <t>三方讨论1</t>
  </si>
  <si>
    <t>马晓维</t>
  </si>
  <si>
    <t>每周出眩晕专诊，但患者质量及诊断需提升</t>
  </si>
  <si>
    <t>清秀主任跟诊交流学习</t>
  </si>
  <si>
    <t>PO讨论1</t>
  </si>
  <si>
    <t>陈卫</t>
  </si>
  <si>
    <t>每周出眩晕专诊，但患者质量及诊断需提升，处于尝试阶段</t>
  </si>
  <si>
    <t>夜访融动；张甦琳教授观念影响，多与毛主任交流</t>
  </si>
  <si>
    <t>李彬</t>
  </si>
  <si>
    <t>科主任，对于产品较为支持，有过处方经验但不够稳定</t>
  </si>
  <si>
    <t>科室GD会议覆盖，融动主任支持产品用药，营造学术氛围</t>
  </si>
  <si>
    <t>LB1场</t>
  </si>
  <si>
    <t>匡逸</t>
  </si>
  <si>
    <t>住院医师，急诊及病房积极推荐</t>
  </si>
  <si>
    <t>客情基础较好，利用Pim持续跟进</t>
  </si>
  <si>
    <t>唐咏春</t>
  </si>
  <si>
    <t>门诊患者较少，处于尝试阶段，有处方经验且有病例正反馈</t>
  </si>
  <si>
    <t>资源倾向性客户，通过会议提升观念</t>
  </si>
  <si>
    <t>牛昱光</t>
  </si>
  <si>
    <t>对头痛头晕专业方向感兴趣，融动出头痛专诊中，且有处方经验</t>
  </si>
  <si>
    <t>需进行资源覆盖，通过大咖带动观念提升，推动进入中青年平台</t>
  </si>
  <si>
    <t>姜明星</t>
  </si>
  <si>
    <t>有破冰处方经验，但不够持续，对于眩晕方向感兴趣，后续愿意出专诊</t>
  </si>
  <si>
    <t>推动VM画像经验积累，提供平台，中青年圈层</t>
  </si>
  <si>
    <t>韩萍</t>
  </si>
  <si>
    <t>行政职务，对于后续产品进院提单有助力，对产品较为支持</t>
  </si>
  <si>
    <t>持续客情维护，大客户管理</t>
  </si>
  <si>
    <t>陈晓宇</t>
  </si>
  <si>
    <t>具备治痛管理大师潜力 目前下乡1年</t>
  </si>
  <si>
    <t>下乡期间保持互动，学会协助</t>
  </si>
  <si>
    <t>邹先坤</t>
  </si>
  <si>
    <t>有处方经验，但受线上影响，脱落率较高，话术上有待提升</t>
  </si>
  <si>
    <t>夜访，话术迭代，提高推荐成功率</t>
  </si>
  <si>
    <t>周盛年</t>
  </si>
  <si>
    <t>标签强化，宣传前庭性偏头痛的优势</t>
  </si>
  <si>
    <t>三方会议传递前庭性偏头痛治疗优势</t>
  </si>
  <si>
    <t>三方会议讲者或主持</t>
  </si>
  <si>
    <t>李明欣</t>
  </si>
  <si>
    <t>做好患者标签，宣教带动患者识别诊断出偏头痛的机会</t>
  </si>
  <si>
    <t>结合需求偏头痛年会的支持，沟通共同做好患者管理</t>
  </si>
  <si>
    <t>头痛头晕年会的支持</t>
  </si>
  <si>
    <t>曹丽丽</t>
  </si>
  <si>
    <t>诊疗路径识别，提高偏头痛患者的规范化管理理念</t>
  </si>
  <si>
    <t>院外交流会议，稳固止痛优选的观念</t>
  </si>
  <si>
    <t>院外会议讨论，影响治疗新观念</t>
  </si>
  <si>
    <t>宋承远</t>
  </si>
  <si>
    <t>三方会议的讨论嘉宾</t>
  </si>
  <si>
    <t>温冰</t>
  </si>
  <si>
    <t>门诊增加，全面推动止痛治疗新理念</t>
  </si>
  <si>
    <t>三方会议发挥个人影响力及观念传递</t>
  </si>
  <si>
    <t>三方会主持或讲者</t>
  </si>
  <si>
    <t>刁增艳</t>
  </si>
  <si>
    <t>标签强化，强化止痛新理念</t>
  </si>
  <si>
    <t>门诊前强化好诊断及患者的规范化管理</t>
  </si>
  <si>
    <t>其他KOL专家应用观念的影响</t>
  </si>
  <si>
    <t>李怡</t>
  </si>
  <si>
    <t>王翠兰</t>
  </si>
  <si>
    <t>培养止痛优选新观念，做好患者回访，整理搜集病例</t>
  </si>
  <si>
    <t>其他优秀病例的引荐</t>
  </si>
  <si>
    <t>李晓红</t>
  </si>
  <si>
    <t>前期做好观念改变后，三方会议通过讲课再次稳固观念</t>
  </si>
  <si>
    <t>三方会议的讲者</t>
  </si>
  <si>
    <t>孙丛丛</t>
  </si>
  <si>
    <t>王兴邦</t>
  </si>
  <si>
    <t>闫涛</t>
  </si>
  <si>
    <t>诊疗路径识别，做好患者随访，提高患者回流率</t>
  </si>
  <si>
    <t>科室会传递六类优势人群</t>
  </si>
  <si>
    <t>科室会</t>
  </si>
  <si>
    <t>丁元萍</t>
  </si>
  <si>
    <t>井洁</t>
  </si>
  <si>
    <t>强化疼痛新观念，增加产品自信度</t>
  </si>
  <si>
    <t>李多凌</t>
  </si>
  <si>
    <t>王世坤</t>
  </si>
  <si>
    <t>贾国勇</t>
  </si>
  <si>
    <t>何伟亮</t>
  </si>
  <si>
    <t>1、融动门诊PSR跟诊，挖掘门诊头痛就诊患者标签；2、沟通阶梯治疗之后长期止痛优选的诊疗思路；3、提供临床病例，患者累计和管理</t>
  </si>
  <si>
    <t>引流计划、三方会</t>
  </si>
  <si>
    <t>窦寿坦</t>
  </si>
  <si>
    <t>李雪梅</t>
  </si>
  <si>
    <t>专诊打造，融动临采，</t>
  </si>
  <si>
    <t>每周一次深度拜访、周二专诊后客情拜访、</t>
  </si>
  <si>
    <t>神经科学学会赞助、与张立功平台</t>
  </si>
  <si>
    <t>王彬</t>
  </si>
  <si>
    <t>李一才</t>
  </si>
  <si>
    <t>1、门诊拜访，重点沟通脑血管合并头痛的患者；2、用真实病例GD会议传递学术知识，建立产品认知；3、连续选用2-3例患者跟进，收集患者使用反馈</t>
  </si>
  <si>
    <t>韩国胜</t>
  </si>
  <si>
    <t>急诊神内，瑞美符合急诊对症处理的疗效</t>
  </si>
  <si>
    <t>眩晕科联动、9月以建立客情以及传递观念为主</t>
  </si>
  <si>
    <t>刘君铃</t>
  </si>
  <si>
    <t>耿建红</t>
  </si>
  <si>
    <t>有破冰处方经验，但不够持续，认可癫痫与偏头痛共病相关内容，既往均为足量足疗承推荐</t>
  </si>
  <si>
    <t>于新军</t>
  </si>
  <si>
    <t>眩晕科</t>
  </si>
  <si>
    <t>眩晕</t>
  </si>
  <si>
    <t>眩晕转折</t>
  </si>
  <si>
    <t>有鉴别诊断的能力、VM患者归拢率高，</t>
  </si>
  <si>
    <t>1、GD、院外深度拜访、2、打造潍坊眩晕平台、辅助其教学门诊的打造、3、与张甦琳互动、增加vm的认可度、4、缔结其与患者沟通信息点、降低脱落率</t>
  </si>
  <si>
    <t>潍坊眩晕平台打造</t>
  </si>
  <si>
    <t>山东第一医科大学附属省立医院</t>
  </si>
  <si>
    <t>阎芳</t>
  </si>
  <si>
    <t>提升疼痛科偏头痛规范化诊疗，提升推荐率，聚焦疼痛科患者画像破冰</t>
  </si>
  <si>
    <t>学术拜访</t>
  </si>
  <si>
    <t>区域会议学习/讨论</t>
  </si>
  <si>
    <t>王敏忠</t>
  </si>
  <si>
    <t>拓展VM患者诊断与规范治疗</t>
  </si>
  <si>
    <t>1、学术拜访传递瑞美VM治疗优势
2、会议重点覆盖VM诊断与规范治疗</t>
  </si>
  <si>
    <t>2场/月三方会议支持</t>
  </si>
  <si>
    <t>焦志安</t>
  </si>
  <si>
    <t>抑郁焦虑患者的识别筛查，提升推荐及诊断管理的能力</t>
  </si>
  <si>
    <t>1.学术拜访传递瑞美治疗优势2.院外GD学术交流，传递使用经验。</t>
  </si>
  <si>
    <t>2-3月一场会议覆盖</t>
  </si>
  <si>
    <t>胡令明</t>
  </si>
  <si>
    <t>焦虑抑郁会议讨论/病例分享</t>
  </si>
  <si>
    <t>王前进</t>
  </si>
  <si>
    <t>杨蕾</t>
  </si>
  <si>
    <t>焦虑抑郁会议讨论</t>
  </si>
  <si>
    <t>王斌</t>
  </si>
  <si>
    <t>共病筛查，提升推荐率、患者管理能力</t>
  </si>
  <si>
    <t>院外GD</t>
  </si>
  <si>
    <t>刘心宇</t>
  </si>
  <si>
    <t>赵国庆</t>
  </si>
  <si>
    <t>区域会议讨论</t>
  </si>
  <si>
    <t>姚红</t>
  </si>
  <si>
    <t>增加头痛头晕标签，患者引流，提高推荐率</t>
  </si>
  <si>
    <t>赵佳丽</t>
  </si>
  <si>
    <t>新增头痛门诊增加引流</t>
  </si>
  <si>
    <t>1、头痛小站、GD会议提升头痛患者归拢率
2、三方会打造个人影响力</t>
  </si>
  <si>
    <t>1场/月三方会议支持</t>
  </si>
  <si>
    <t>屈传强</t>
  </si>
  <si>
    <t>提升头痛头痛头晕规范诊疗能力</t>
  </si>
  <si>
    <t>1.三方会议覆盖，打造影响力。
2.PSR协助管理门诊患者</t>
  </si>
  <si>
    <t>张付生</t>
  </si>
  <si>
    <t>推动新增周一周二头痛门诊落地</t>
  </si>
  <si>
    <t>1、清晰申请头痛门诊增加流程
2、PSR共同管理门诊患者</t>
  </si>
  <si>
    <t>1场/月三方会议讲课/主持</t>
  </si>
  <si>
    <t>谭寅寅</t>
  </si>
  <si>
    <t>推动B转A，提升头痛头晕门诊患者规范管理能力</t>
  </si>
  <si>
    <t>1、会议覆盖提升VM诊断管理能力
2、积累优质病例创造机会分享</t>
  </si>
  <si>
    <t>1-2月一场会议覆盖</t>
  </si>
  <si>
    <t>崔元孝</t>
  </si>
  <si>
    <t>头痛头晕标签，癫痫共病大伟共管共治</t>
  </si>
  <si>
    <t>1.定期院外学术交流，沟通最新治疗理念跟进展，关注患者管理及足疗程。</t>
  </si>
  <si>
    <t>1-2月一场会议主持覆盖/院外GD</t>
  </si>
  <si>
    <t>陈春富</t>
  </si>
  <si>
    <t>大咖影响力，带动学科发展，治疗方案选择，强化治痛新理念</t>
  </si>
  <si>
    <t xml:space="preserve">1.三方会议覆盖，打造影响力。2.定期家访融动沟通偏头痛患者的科学管理，治痛治疗需求
</t>
  </si>
  <si>
    <t>全国/区域三方会议</t>
  </si>
  <si>
    <t>冯亚波</t>
  </si>
  <si>
    <t>刘学伍</t>
  </si>
  <si>
    <t>标签强化，癫痫头痛同为发作疾病，同样需要科学规范管理</t>
  </si>
  <si>
    <t xml:space="preserve">1、重点沟通跟进门诊偏头痛患者科学方案
</t>
  </si>
  <si>
    <t>阮喜云</t>
  </si>
  <si>
    <t xml:space="preserve">1、会议覆盖提升VM诊断管理能力
</t>
  </si>
  <si>
    <t>1场/季度VM主题会议主持覆盖</t>
  </si>
  <si>
    <t>侯训尧</t>
  </si>
  <si>
    <t>头痛眩晕门诊患者管理经验学习，头痛头晕患者科室创收项目探索</t>
  </si>
  <si>
    <t>1场/季度三方会议主持</t>
  </si>
  <si>
    <t>王树华</t>
  </si>
  <si>
    <t>提升头痛头晕门诊患者规范管理能力，治痛管理理念</t>
  </si>
  <si>
    <t>1.学术拜访传递瑞美治疗优势</t>
  </si>
  <si>
    <t>于淑东</t>
  </si>
  <si>
    <t>眩晕患者的识别诊断筛查治疗管理理念提升</t>
  </si>
  <si>
    <t>VN山东讲师团，传递瑞美治疗优势及临床治疗价值2.带动科室发展</t>
  </si>
  <si>
    <t>陈刚</t>
  </si>
  <si>
    <t>眩晕专病门诊VM\PVM识别诊断率提升</t>
  </si>
  <si>
    <t>VM山东讲师团，强化瑞美优势与使用经验，观念接轨双S团队</t>
  </si>
  <si>
    <t>赵雪柠</t>
  </si>
  <si>
    <t>杨瑞瑞</t>
  </si>
  <si>
    <t>头痛专病门诊患者推荐率提升</t>
  </si>
  <si>
    <t>日程学术拜访</t>
  </si>
  <si>
    <t>1场/季度三方会议覆盖</t>
  </si>
  <si>
    <t>满晓</t>
  </si>
  <si>
    <t>门诊VM患者识别诊断治疗推荐瑞美</t>
  </si>
  <si>
    <t>三方会议，B客户会议覆盖</t>
  </si>
  <si>
    <t>刘效辉</t>
  </si>
  <si>
    <t>提升头痛头痛头晕规范诊疗能力，提高推荐率。</t>
  </si>
  <si>
    <t xml:space="preserve">1、学术拜访传递瑞美在偏头痛及脑血管共病患者的治疗优势
</t>
  </si>
  <si>
    <t>解凤阳</t>
  </si>
  <si>
    <t>眩晕患者的识别诊断筛查治疗管理理念提升，提高推荐率</t>
  </si>
  <si>
    <t>1.VM山东讲师团，提高影响力，强化瑞美VM/PVM治疗价值。</t>
  </si>
  <si>
    <t>于刚</t>
  </si>
  <si>
    <t>VM诊疗观念提升</t>
  </si>
  <si>
    <t>1、加强学术拜访  
2、加强客情跟进</t>
  </si>
  <si>
    <t>每周一次深度拜访，争取陪诊机会</t>
  </si>
  <si>
    <t>代小燕</t>
  </si>
  <si>
    <t>门诊病房学术拜访</t>
  </si>
  <si>
    <t>尹苓</t>
  </si>
  <si>
    <t>学术拜访/区域会议参与学习交流提升诊疗能力</t>
  </si>
  <si>
    <t>B客户会议讨论</t>
  </si>
  <si>
    <t>陈健</t>
  </si>
  <si>
    <t>提升推荐率，足疗规范治疗</t>
  </si>
  <si>
    <t>李春霞</t>
  </si>
  <si>
    <t>拜访传递瑞美VM治疗优势，推动尝试</t>
  </si>
  <si>
    <t>区域会议参与讨论</t>
  </si>
  <si>
    <t>焦莉</t>
  </si>
  <si>
    <t>偏头痛规范诊疗能力、推荐率</t>
  </si>
  <si>
    <t>刘兆孔</t>
  </si>
  <si>
    <t>pimcall</t>
  </si>
  <si>
    <t>马莹娟</t>
  </si>
  <si>
    <t>规范诊疗能力，提高推荐率</t>
  </si>
  <si>
    <t>李赟</t>
  </si>
  <si>
    <t>传递瑞美vm治疗优势，快速破冰产出</t>
  </si>
  <si>
    <t>每周一次深度拜访，针对门诊VM患者尝试，管理正反馈</t>
  </si>
  <si>
    <t>TTT,区域会议参会</t>
  </si>
  <si>
    <t>徐栩栩</t>
  </si>
  <si>
    <t>汪春娟</t>
  </si>
  <si>
    <t>李万顺</t>
  </si>
  <si>
    <t>提高偏头痛疾病的诊断    患者管理   增加疾病标签</t>
  </si>
  <si>
    <t>1先调研医院规定
2融动专家增设标签
3会议学习识别诊断
4病例讨论会</t>
  </si>
  <si>
    <t>精神专科三方会议会议每月1次</t>
  </si>
  <si>
    <t>高春霓</t>
  </si>
  <si>
    <t>头痛头晕疾病患者管理， 延长患者DOT  提高患者复诊率</t>
  </si>
  <si>
    <t>1先调研医院规定
2融动专家增设标签
3会议学习识别诊断</t>
  </si>
  <si>
    <t>会议会前协防 pimcall</t>
  </si>
  <si>
    <t>杨丽敏</t>
  </si>
  <si>
    <t xml:space="preserve">1增加头痛共病诊断 2 增加头痛标签   </t>
  </si>
  <si>
    <t>三方会议观念覆盖</t>
  </si>
  <si>
    <t>张清华</t>
  </si>
  <si>
    <t xml:space="preserve">1号源增加  2 院内宣传   3延长DOT 4 增加MDT会诊    提高VM患者诊断 </t>
  </si>
  <si>
    <t>1先调研医院规定
2结合公司市场部推广动作
3好大夫平台搭建一场直播</t>
  </si>
  <si>
    <t xml:space="preserve">个人IP打造 </t>
  </si>
  <si>
    <t>张天亮</t>
  </si>
  <si>
    <t>1疾病诊断  2患者管理   3足量足疗程</t>
  </si>
  <si>
    <t>精神专科三方会议会议  1次每月</t>
  </si>
  <si>
    <t>郑云哨</t>
  </si>
  <si>
    <t>1疾病诊断    2指南规范治疗    3延长DOT3-6个月</t>
  </si>
  <si>
    <t>精神专科三方会议会议 每月1次</t>
  </si>
  <si>
    <t>李凯</t>
  </si>
  <si>
    <t>院外引流延长DOT减少限量影响
提高VM诊断率
PSR每月定期复盘，共识目标，解决需求</t>
  </si>
  <si>
    <t>协助完成偏头痛VM相关研究
PSR门诊协助完成CDSS</t>
  </si>
  <si>
    <t>医学部协助研究
外部大型会议授课/主持提高头痛头晕知名度
卫健委项目讲师推荐</t>
  </si>
  <si>
    <t>徐晓东</t>
  </si>
  <si>
    <t>VM诊断率
中低频患者推荐话术
DOT延长</t>
  </si>
  <si>
    <t>VM相关大会参会学习诊断
对比曲坦优势提醒
PSR协助患者管理，随访患者复诊</t>
  </si>
  <si>
    <t>PO、三方覆盖
省级学会活动参与任职
卫健委项目讲师推荐</t>
  </si>
  <si>
    <t>曹忠胜</t>
  </si>
  <si>
    <t>提高推荐率和复诊率</t>
  </si>
  <si>
    <t>正反馈跟进外部先进诊断理念分享</t>
  </si>
  <si>
    <t>PO、三方覆盖</t>
  </si>
  <si>
    <t>黄译腺</t>
  </si>
  <si>
    <t>偏头痛诊断率
VM诊断率、推荐率</t>
  </si>
  <si>
    <t>PSR协助完成CDSS提高诊断率
VM外部大会参会学习诊断</t>
  </si>
  <si>
    <t>PO、三方覆盖
卫健委项目讲师推荐</t>
  </si>
  <si>
    <t>熊康平</t>
  </si>
  <si>
    <t>共病焦虑抑郁偏头痛诊断率</t>
  </si>
  <si>
    <t>多询问病史联合用药同时解决偏头痛和睡眠、情绪问题</t>
  </si>
  <si>
    <t>毛成洁</t>
  </si>
  <si>
    <t>高频词拜访获得科室支持</t>
  </si>
  <si>
    <t>定期拜访、活动覆盖得到科主任支持，增设科室内头痛眩晕小组医生</t>
  </si>
  <si>
    <t>章春园</t>
  </si>
  <si>
    <t>治疗必要性</t>
  </si>
  <si>
    <t>收集正反馈，提升信心</t>
  </si>
  <si>
    <t>GD、LB覆盖</t>
  </si>
  <si>
    <t>张金茹</t>
  </si>
  <si>
    <t>psr做好患者管理</t>
  </si>
  <si>
    <t>沈赟</t>
  </si>
  <si>
    <t>低中高频、急性相应不足，MOH,VM</t>
  </si>
  <si>
    <t>提供证据链支持，做好正反馈，持续加强覆盖及跟进</t>
  </si>
  <si>
    <t>李瀛</t>
  </si>
  <si>
    <t>罗颜</t>
  </si>
  <si>
    <t>推荐率</t>
  </si>
  <si>
    <t>加强拜访及客情维护</t>
  </si>
  <si>
    <t>徐加平</t>
  </si>
  <si>
    <t>推荐话术迭代，提高推荐成功率</t>
  </si>
  <si>
    <t>客情加强</t>
  </si>
  <si>
    <t>张霞</t>
  </si>
  <si>
    <t>患者管理提高复诊率</t>
  </si>
  <si>
    <t>刘春风</t>
  </si>
  <si>
    <t>3M推荐率</t>
  </si>
  <si>
    <t>加强足量足疗程话术沟通</t>
  </si>
  <si>
    <t>黄志超</t>
  </si>
  <si>
    <t>VM推荐率</t>
  </si>
  <si>
    <t>调整推荐话术，增强信心</t>
  </si>
  <si>
    <t>胡伟东</t>
  </si>
  <si>
    <t>DOT</t>
  </si>
  <si>
    <t>做好病例正反馈，提供情绪价值，持续传递治痛理念，加强共病患者问诊筛查</t>
  </si>
  <si>
    <t>邵国富</t>
  </si>
  <si>
    <t>归拢率/DOT</t>
  </si>
  <si>
    <t>持续传递治痛理念；做好随访提升归拢率</t>
  </si>
  <si>
    <t>庄圣</t>
  </si>
  <si>
    <t>加强日常拜访</t>
  </si>
  <si>
    <t>程丰</t>
  </si>
  <si>
    <t>诊断率</t>
  </si>
  <si>
    <t>传递真实世界研究证据，提升用药信心</t>
  </si>
  <si>
    <t>王怀舜</t>
  </si>
  <si>
    <t>继续提升治痛观念</t>
  </si>
  <si>
    <t>王普之</t>
  </si>
  <si>
    <t>继续提升足疗程观念，首诊及落地</t>
  </si>
  <si>
    <t>王辰涛</t>
  </si>
  <si>
    <t>复诊率</t>
  </si>
  <si>
    <t>程筱雨</t>
  </si>
  <si>
    <t>徐莹莹</t>
  </si>
  <si>
    <t>闫家辉</t>
  </si>
  <si>
    <t>VM诊断率/推荐率</t>
  </si>
  <si>
    <t>提升VM观念，首诊即落地</t>
  </si>
  <si>
    <t>杜建斌</t>
  </si>
  <si>
    <t>李文全</t>
  </si>
  <si>
    <t>朱政文</t>
  </si>
  <si>
    <t>患者归拢率</t>
  </si>
  <si>
    <t>张艳林</t>
  </si>
  <si>
    <t>推荐率；DOT</t>
  </si>
  <si>
    <t>曹钰兰</t>
  </si>
  <si>
    <t>赵红如</t>
  </si>
  <si>
    <t>头痛标杆，PSR协助做好节流，延长DOT和复购率</t>
  </si>
  <si>
    <t>诊前拜访+诊后复盘，专病门诊，把门诊量转成处方量；
1，拓展病人肖像，持续在MOH/高频患者必选瑞美，中频患者Q3扩大转换，低频患者一线推荐；耳鸣耳聋患者加强询问偏头痛病史（关注共病患者）
 2，（月门诊200+的偏头痛患者）门诊话术升级，丢弃一页纸
 3， 增加头痛T队，共同融动新门诊
 4，新形式下政策解读
 5，红如有约系列平台Q3提高质量，聚焦区域头痛专家培养</t>
  </si>
  <si>
    <t>1、标杆维护+区域头痛学科建设平台搭建持续性
2、红如有约活动的持续性，提升会议质量</t>
  </si>
  <si>
    <t>王达鹏</t>
  </si>
  <si>
    <t>1、推动在p-VM使用经验；
2、规范3-6个月治疗周期；
3、增设眩晕专病门诊</t>
  </si>
  <si>
    <t>1、瑞美成VM治疗优选、延长DOT；
2、稳住356基本盘，接新患复诊，突破500
打造标准话眩晕门诊建设路径，提升眩晕门诊诊疗标准；
简化问诊工具，VM及共病（MD/BPPV/PPPD）识别诊断
强化品牌区隔：瑞美为基础的联合替换传统止晕药物的使用；
突出安全性，区分传统VM的治疗药物
1，眩晕专病门诊（目增加半天眩晕门诊（附一新增/院外新增引流附一）
 2，开展眩晕病区，完善眩晕诊疗体系；
 3，周门诊量50+眩晕患者眩晕专病门诊患者引流，医院公众号推文、小红书、头痛小站、好大夫直播等形式患者引流；
 4，打造区域中青年眩晕平台系列,与苏州为团体打造眩晕诊治管</t>
  </si>
  <si>
    <t>区域眩晕标杆打造，搭建外部平台提升诊疗能力，内部活动提升个人品牌影响力</t>
  </si>
  <si>
    <t>张全全</t>
  </si>
  <si>
    <t>提升治痛理念，在中高频患者上必选瑞美，正向反馈，推动在低频患者优选瑞美
乐泰可是重度患者治痛管理的优选，认可乐泰可降低MMD及安全性良好的优势
乐泰可用于后线治疗、不注重患者管理</t>
  </si>
  <si>
    <t>1、诊前拜访+诊后复盘，提升推荐率提升、延长DOT，把门诊量转成处方量；
2、观念进阶：按患者画像(高频/中频/低频都优选瑞美)传递优势；
3、增设头痛专病门诊</t>
  </si>
  <si>
    <t>中青年头痛专家平台搭建，学术影响提升</t>
  </si>
  <si>
    <t>陈治国</t>
  </si>
  <si>
    <t>诊断率提升、患者画像精准治疗、观念进阶、延长DOT。
缺乏通过长期患者管理，助力诊断和治疗效果评估的诊疗意识
高效的简易工具辅助医生管理患者</t>
  </si>
  <si>
    <t xml:space="preserve">塑造治痛理念，及主要患者画像的品牌优势
观念进阶：按患者画像(高频/中频/低频都优选瑞美)传递优势，
①提诊断率(简化问诊工具)  ②按患者画像优选瑞美③延长DOT </t>
  </si>
  <si>
    <t>三方会议观念提升</t>
  </si>
  <si>
    <t>王怡青</t>
  </si>
  <si>
    <t>诊断率提升、患者画像精准治疗、观念进阶、延长DOT。
乐泰可是重度患者治痛管理的优选，认可乐泰可降低MMD及安全性良好的优势
乐泰可用于后线治疗、不注重患者管理</t>
  </si>
  <si>
    <t>LB/GD活动覆盖</t>
  </si>
  <si>
    <t>黄适存</t>
  </si>
  <si>
    <t>丁冬雪</t>
  </si>
  <si>
    <t>薛寿儒</t>
  </si>
  <si>
    <t>段晓宇</t>
  </si>
  <si>
    <t>杨翼</t>
  </si>
  <si>
    <t>刁珊珊</t>
  </si>
  <si>
    <t>蒋建华</t>
  </si>
  <si>
    <t>章璐璐</t>
  </si>
  <si>
    <t>陶朵朵</t>
  </si>
  <si>
    <t>诊断率提升、患者画像精准治疗、观念进阶、延长DOT。
缺乏简易的诊断工具帮助快速识别和诊断VM
缺乏患者管理意识和管理工具</t>
  </si>
  <si>
    <t>简化问诊工具，VM及共病（MD/BPPV/PPPD）识别诊断
疾病认知快速提升，提升VM的意愿度
指南/共识/专家论述对VM诊断及共病明确诊断和鉴别诊断
通过TTT和治疗病例分享，提高规范治疗理念
强化品牌区隔：瑞美为基础的联合替换传统止晕药物的使用；
突出安全性，区分传统VM的治疗药物</t>
  </si>
  <si>
    <t>于亚峰</t>
  </si>
  <si>
    <t>打造标准话眩晕门诊建设路径，提升眩晕门诊诊疗标准；
简化问诊工具，VM及共病（MD/BPPV/PPPD）识别诊断
疾病认知快速提升，提升VM的意愿度
指南/共识/专家论述对VM诊断及共病明确诊断和鉴别诊断
通过TTT和治疗病例分享，提高规范治疗理念
强化品牌区隔：瑞美为基础的联合替换传统止晕药物的使用；
突出安全性，区分传统VM的治疗药物</t>
  </si>
  <si>
    <t>活动平台搭建，观念提升</t>
  </si>
  <si>
    <t>郭燕</t>
  </si>
  <si>
    <t>倪建强</t>
  </si>
  <si>
    <t xml:space="preserve">观念进阶：按患者画像(高频/中频/低频都优选瑞美)传递优势，
①提诊断率(简化问诊工具)  ②按患者画像优选瑞美③延长DOT </t>
  </si>
  <si>
    <t>潘晨</t>
  </si>
  <si>
    <t>高晗清</t>
  </si>
  <si>
    <t>王辉</t>
  </si>
  <si>
    <t>吉康祥</t>
  </si>
  <si>
    <t>朱珏华</t>
  </si>
  <si>
    <t>陆海锋</t>
  </si>
  <si>
    <t>王全</t>
  </si>
  <si>
    <t>胡小伟</t>
  </si>
  <si>
    <t>王洪霞</t>
  </si>
  <si>
    <t>潘圣洁</t>
  </si>
  <si>
    <t>薛群</t>
  </si>
  <si>
    <t>许真真</t>
  </si>
  <si>
    <t>陈周青</t>
  </si>
  <si>
    <t>神经外科</t>
  </si>
  <si>
    <t>周围神经病</t>
  </si>
  <si>
    <t>赵中</t>
  </si>
  <si>
    <t>维持治痛管理观念层级并扩大患者覆盖。挂号系统显示其无专病门诊设置、月均16个半天非专诊（无专诊模块），8月tth 148片且近5月稳步上行。机会点：依托抑郁焦虑亚专业推动开设『头痛-情绪共病』专病门诊/增加号源，扩大偏头痛-共病患者触达，并通过全病程治痛管理路径延长单患者管理时长。</t>
  </si>
  <si>
    <t>1) 每月≥2次学术拜访，巩固全病程治痛管理（疗效/频率/安全三方认可）理念；
2) 协同院方/科室推动开设头痛共病专病门诊或扩容号源；
3) 在共病场景中传递瑞美吉泮安全性与低频用药优势，将单患者管理延长至6个月。
4) 定位为抑郁焦虑-偏头痛共病"代言"KOL，牵头共病专病门诊建设。</t>
  </si>
  <si>
    <t>医学部偏头痛-抑郁焦虑共病循证与资料；专病门诊/号源扩容的院方协调资源；区域学术会议讲者席位。</t>
  </si>
  <si>
    <t>付建忠</t>
  </si>
  <si>
    <t>观念由短期治痛提升至治痛管理。挂号系统显示其设有头痛专诊（月8个模块）、月出诊12个半天，8月tth 96片（3月60→8月96）。机会点：依托高频头痛专诊筛查中高频偏头痛患者，启动3-6个月治痛管理路径，并借区域讲者身份辐射A类同行。</t>
  </si>
  <si>
    <t>1) 每月≥2次高频拜访，系统传递治痛管理（全病程、降MMD）理念；
2) 依托头痛专诊（8模块/月）筛选中高频患者，直接纳入治痛管理路径；
3) 邀请担任区域头痛沙龙讲者，强化自身观念并带动桂千王媚瑕等人。
4) 头部"代言"讲者，GD会/区域会主讲，辐射A类同行。</t>
  </si>
  <si>
    <t>治痛管理路径学术资料与病例库；区域头痛沙龙/COE会议名额；医学部讲者支持。</t>
  </si>
  <si>
    <t>冯红选</t>
  </si>
  <si>
    <t>巩固短期治痛观念并稳定产出。挂号系统显示头痛专诊（月4模块）、月出诊12个半天，tth在16–56间波动（近两月稳定在48）。机会点：优化专诊患者筛选与随访流程，降低销量波动，将急性+频率管理处方做扎实。</t>
  </si>
  <si>
    <t>1) 每月≥2次拜访巩固CGRP推荐与1-2个月管理；
2) 专诊（4模块/月）内强化患者筛选与随访，急性与频率管理并行；
3) 通过病例随访将月均tth稳定在48片以上。
4) 升格为科室"代言(KOL)"角色，与付建忠/赵中形成3人代言矩阵，在GD会/区域会承担讲者与peer影响。</t>
  </si>
  <si>
    <t>短期治痛学术物料；专诊患者随访管理工具；区域病例分享会。</t>
  </si>
  <si>
    <t>邓邦鱼</t>
  </si>
  <si>
    <t>巩固止痛优选观念并持续放量。挂号系统显示其无专病门诊设置、月均8个半天非专诊，tth由0升至20片（7月峰值36）。机会点：在前庭性偏头痛/眩晕门诊中，将伴血管风险患者优先纳入瑞美吉泮治疗，借眩晕学术活动扩大处方。</t>
  </si>
  <si>
    <t>1) 每月≥2次拜访巩固『血管风险患者优先使用瑞美吉泮』定位；
2) 在耳鼻喉/眩晕门诊识别前庭性偏头痛及伴血管风险患者；
3) 借眩晕领域学术活动提升处方覆盖。
4) 定位耳鼻喉VM方向"倡导"角色，牵头眩晕专诊与VM筛查。</t>
  </si>
  <si>
    <t>前庭性偏头痛/眩晕循证资料；眩晕领域区域学术会议支持；前庭性偏头痛患者教育物料。</t>
  </si>
  <si>
    <t>王媚瑕</t>
  </si>
  <si>
    <t>观念由阶梯治疗上移至短期治痛。挂号系统显示其设有头痛专诊（月4模块），tth自0起量（近两月24/16片）。机会点：纠正『首选NSAIDs/曲坦』的用药习惯，在头痛专诊内将CGRP受体拮抗剂提至急性治疗优先，并积累真实世界病例。</t>
  </si>
  <si>
    <t>1) 每月≥2次高频拜访，传递CGRP机制与急性治疗优势，扭转NSAIDs/曲坦首选路径；
2) 头痛专诊（4模块/月）内试点CGRP作为急性首选并积累病例；
3) 邀请参加头痛学术会议，接触治痛管理理念。
4) 定位"倡导"角色，协助GD会主讲与peer影响。</t>
  </si>
  <si>
    <t>CGRP对比曲坦/NSAIDs学术资料；头痛专诊试点支持；学术会议名额。</t>
  </si>
  <si>
    <t>朱伟</t>
  </si>
  <si>
    <t>观念由阶梯治疗提升至止痛优选。挂号系统显示其无专病门诊设置、月均8个半天非专诊，tth由4升至16片。机会点：在眩晕门诊识别前庭性偏头痛及血管风险患者，确立CGRP类药物用于明确血管风险者的定位。</t>
  </si>
  <si>
    <t>1) 每月≥2次拜访，传递CGRP与偏头痛关联及止痛优选定位；
2) 门诊识别前庭性偏头痛/血管风险患者；
3) 通过眩晕病例积累提升处方。</t>
  </si>
  <si>
    <t>前庭性偏头痛循证资料；眩晕学术活动；区域病例分享机会。</t>
  </si>
  <si>
    <t>邓朋</t>
  </si>
  <si>
    <t>观念由阶梯治疗提升至短期治痛，止住销量下滑。挂号系统显示其设有痛晕专诊（月4模块），tth由52片降至28片。机会点：重建CGRP关联、纠正NSAIDs/曲坦首选，依托痛晕专诊将偏头痛患者纳入CGRP急性治疗+1-2月管理，并复盘下滑原因协同恢复。</t>
  </si>
  <si>
    <t>1) 每月≥2次高频拜访重建CGRP关联，纠正NSAIDs/曲坦首选；
2) 痛晕专诊（4模块/月）内将偏头痛患者纳入CGRP急性治疗+1-2月管理；
3) 排查销量下滑（断货/竞品/观念）根因并协同恢复处方。
4) 定位VM/痛晕方向"倡导"角色。</t>
  </si>
  <si>
    <t>CGRP学术资料；准入/断货协调支持；痛晕专诊学术活动机会。</t>
  </si>
  <si>
    <t>冯倩</t>
  </si>
  <si>
    <t>观念由阶梯治疗提升至短期治痛。挂号系统显示其无专病门诊设置、月均4个半天非专诊，tth由0升至16片。机会点：在脑血管门诊识别偏头痛共病/血管风险患者，确立CGRP定位与血管风险患者优先。</t>
  </si>
  <si>
    <t>1) 每月≥2次拜访传递CGRP定位与血管风险患者优先；
2) 门诊识别偏头痛共病/血管风险患者；
3) 通过科室会与病例提升处方。
4) 定位脑血管方向"倡导"角色。</t>
  </si>
  <si>
    <t>脑血管合并偏头痛循证；科室会支持；学术资料。</t>
  </si>
  <si>
    <t>桂千</t>
  </si>
  <si>
    <t>观念由阶梯治疗提升至止痛优选。挂号系统显示其无专病门诊设置、月均8个半天非专诊，tth由0升至8片。机会点：将脑血管伴血管风险的偏头痛患者纳入瑞美吉泮治疗，小步放量。</t>
  </si>
  <si>
    <t>1) 每月≥2次拜访传递『血管风险患者优先使用瑞美吉泮』；
2) 门诊识别血管风险患者；
3) 在现有基础上稳步提升月度处方。</t>
  </si>
  <si>
    <t>血管风险偏头痛循证；科室会/病例支持。</t>
  </si>
  <si>
    <t>王薇</t>
  </si>
  <si>
    <t>维持阶梯治疗观念并小幅起量，补全标签。挂号系统显示其无专病门诊设置、月均16个半天非专诊（出诊量较大），但244标签缺失、tth由8降至4片。机会点：先补全244标签与出诊简介标签提升系统识别，再在门诊识别潜在患者小幅处方。</t>
  </si>
  <si>
    <t>1) 每月1-2次拜访维持CGRP后线定位认知；
2) 推动补全244标签与出诊简介中头痛/眩晕标签；
3) 门诊识别潜在患者，启动小处方。</t>
  </si>
  <si>
    <t>标签系统录入支持；基础学术资料。</t>
  </si>
  <si>
    <t>沈蓉</t>
  </si>
  <si>
    <t>从『不管不治』破冰，建立CGRP与偏头痛诊疗关联，进入阶梯治疗。挂号系统显示其无专病门诊设置、月均8个半天非专诊、244标签缺失、tth为0。机会点：先行补全244标签与出诊简介标签，再借破冰拜访建立基础关联，从急性治疗响应不足场景切入。</t>
  </si>
  <si>
    <t>1) 每月1-2次破冰拜访，传递CGRP与偏头痛基础关联；
2) 补全244标签与出诊简介标签；
3) 门诊识别偏头痛患者，从急性治疗响应不足场景切入。</t>
  </si>
  <si>
    <t>基础学术资料；标签系统录入支持；新人破冰拜访带教。</t>
  </si>
  <si>
    <t>吴冠会</t>
  </si>
  <si>
    <t>重启处方、从0恢复并进入阶梯治疗。挂号系统显示其无专病门诊设置但月均24个半天非专诊（出诊量全院领先），tth曾达12片现降至0、244标签缺失。机会点：依托大出诊量重建CGRP关联并补全标签，从急性治疗切入恢复处方。</t>
  </si>
  <si>
    <t>1) 每月≥2次破冰+重启拜访重建CGRP关联；
2) 补全244标签；
3) 依托高门诊量识别偏头痛患者，从急性治疗切入恢复处方。</t>
  </si>
  <si>
    <t>基础学术资料；标签系统支持；重启处方协同支持。</t>
  </si>
  <si>
    <t>刘迎梅</t>
  </si>
  <si>
    <t>在眩晕专诊重启CGRP关联，由『不管不治』进入阶梯治疗。挂号系统显示其设有痛晕专诊（标签在但月模块为0）、月均4个半天非专诊，tth由4降至0、244标签缺失。机会点：借眩晕专诊识别前庭性偏头痛患者，建立CGRP关联并补全标签。</t>
  </si>
  <si>
    <t>1) 破冰拜访传递CGRP与偏头痛/前庭性偏头痛关联；
2) 依托痛晕专诊识别前庭性偏头痛患者；
3) 补全244标签。
4) 补全244标签与VM标签，纳入VM专项管理。</t>
  </si>
  <si>
    <t>前庭性偏头痛循证；眩晕专诊学术活动；标签支持。</t>
  </si>
  <si>
    <t>沈明强</t>
  </si>
  <si>
    <t>作为A类潜力客户破冰，依托头痛专诊建立CGRP关联、进入阶梯治疗。挂号系统显示其设有头痛专诊（月4模块）但244标签缺失、tth为0。机会点：高频破冰传递CGRP与偏头痛关联，专诊内从急性治疗切入并补全标签。</t>
  </si>
  <si>
    <t>1) 每月≥2次高频破冰传递CGRP与偏头痛关联；
2) 头痛专诊（4模块/月）内筛选偏头痛患者，从急性治疗切入；
3) 补全244标签。</t>
  </si>
  <si>
    <t>头痛专病学术资料；标签系统支持；A类客户破冰带教。</t>
  </si>
  <si>
    <t>周华</t>
  </si>
  <si>
    <t>从『不管不治』破冰进入阶梯治疗。挂号系统显示其无专病门诊设置、月均8个半天非专诊、244标签缺失、tth为0。机会点：以增加出诊模块/周（当前8个半天仍有扩容空间）提升患者触达，同步补全标签、建立CGRP基础关联。</t>
  </si>
  <si>
    <t>1) 每月1-2次破冰拜访传递CGRP与偏头痛基础关联；
2) 与科室沟通增加出诊模块/周以扩大患者覆盖；
3) 补全244标签与出诊简介标签，门诊识别偏头痛患者从急性治疗响应不足切入。</t>
  </si>
  <si>
    <t>基础学术资料；标签系统录入支持；出诊模块扩容的科室协调。</t>
  </si>
  <si>
    <t>王锋</t>
  </si>
  <si>
    <t>从『不管不治』破冰进入阶梯治疗。挂号系统显示其无专病门诊设置、月均8个半天非专诊、244标签缺失、tth为0。机会点：优先补全出诊简介中头痛/眩晕标签，提升挂号系统患者匹配与系统识别，再建立CGRP基础关联。</t>
  </si>
  <si>
    <t>1) 每月1-2次破冰拜访传递CGRP与偏头痛基础关联；
2) 补全出诊简介标签（头痛/眩晕）与244标签；
3) 门诊识别偏头痛患者从急性治疗响应不足场景切入。</t>
  </si>
  <si>
    <t>邱晨红</t>
  </si>
  <si>
    <t>从『不管不治』破冰进入阶梯治疗。挂号系统显示其无专病门诊设置、月均8个半天非专诊、244标签缺失、tth为0。机会点：推动从『无专诊设置』起步开通脑血管/头痛专病门诊，建立专病入口并补全标签。</t>
  </si>
  <si>
    <t>1) 每月1-2次破冰拜访传递CGRP与偏头痛基础关联；
2) 协同科室推动开通专病门诊、建立患者入口；
3) 补全244标签与出诊简介标签，门诊识别偏头痛患者。</t>
  </si>
  <si>
    <t>专病门诊开设的院方协调；标签系统支持；基础学术资料。</t>
  </si>
  <si>
    <t>邓晓雷</t>
  </si>
  <si>
    <t>从『不管不治』破冰进入阶梯治疗。挂号系统显示其无专病门诊设置、月均8个半天非专诊、244标签缺失、tth为0。机会点：以号源扩容（增加可预约号源）提升首诊转化，同步补全标签、建立CGRP基础关联。</t>
  </si>
  <si>
    <t>1) 每月1-2次破冰拜访传递CGRP与偏头痛基础关联；
2) 推动号源扩容、提升可预约号源与首诊转化；
3) 补全244标签与出诊简介标签，门诊识别偏头痛患者。</t>
  </si>
  <si>
    <t>号源扩容协调支持；标签系统录入支持；基础学术资料。</t>
  </si>
  <si>
    <t>江玲玲</t>
  </si>
  <si>
    <t>从『不管不治』破冰进入阶梯治疗。挂号系统显示其无专病门诊设置、月均8个半天非专诊、244标签缺失、tth为0。机会点：优先补全244标签与出诊简介标签，解决系统未识别问题，再建立CGRP基础关联。</t>
  </si>
  <si>
    <t>1) 每月1-2次破冰拜访传递CGRP与偏头痛基础关联；
2) 补全244标签与出诊简介标签；
3) 门诊识别偏头痛患者从急性治疗响应不足场景切入。</t>
  </si>
  <si>
    <t>孙沁怡</t>
  </si>
  <si>
    <t>从『不管不治』破冰进入阶梯治疗。挂号系统显示其无专病门诊设置、月均8个半天非专诊、244标签缺失、tth为0。机会点：通过增加出诊模块/周提升患者触达规模，并补全244标签、建立CGRP基础关联。</t>
  </si>
  <si>
    <t>出诊模块扩容协调；标签系统录入支持；基础学术资料。</t>
  </si>
  <si>
    <t>丁园</t>
  </si>
  <si>
    <t>从『不管不治』破冰进入阶梯治疗。挂号系统显示其无专病门诊设置、月均8个半天非专诊、244标签缺失、tth为0。机会点：推动开通脑血管/头痛专病门诊建立专病入口，补全244标签、建立CGRP关联。</t>
  </si>
  <si>
    <t>黄开梅</t>
  </si>
  <si>
    <t>从『不管不治』破冰进入阶梯治疗。挂号系统显示其无专病门诊设置、月均8个半天非专诊、244标签缺失、tth为0。机会点：以号源扩容提升首诊转化，补全244标签、建立CGRP基础关联。</t>
  </si>
  <si>
    <t>朱浩</t>
  </si>
  <si>
    <t>从『不管不治』破冰进入阶梯治疗。挂号系统显示其无专病门诊设置、月均8个半天非专诊、244标签缺失、tth为0。机会点：优先补全出诊简介中头痛/眩晕标签提升匹配，补全244标签、建立CGRP基础关联。</t>
  </si>
  <si>
    <t>【建议新增】ENT眩晕/VM KOL</t>
  </si>
  <si>
    <t>待开发</t>
  </si>
  <si>
    <t>未覆盖</t>
  </si>
  <si>
    <t>清单扩容：摸排耳鼻喉眩晕/头痛亚专业新增1-2位目标医生，纳入244标签与VM专项管理，补强VM/ENT客户面(补③)。</t>
  </si>
  <si>
    <t>1) 协同科室/门诊地图识别眩晕/VM高潜医生；2) 完成244标签补全与VM筛查流程(ICHD-3)导入；3) 纳入GD会与跨科转诊网络。</t>
  </si>
  <si>
    <t>ENT眩晕/VM专项学术资源、门诊地图标注、244标签录入支持。</t>
  </si>
  <si>
    <t>刘伟</t>
  </si>
  <si>
    <t>PPPD共病VM诊断率
VM患者DOT延长</t>
  </si>
  <si>
    <t>蒋文军</t>
  </si>
  <si>
    <t>偏头痛患者提高推荐率、延长DOT
VM提高诊断率</t>
  </si>
  <si>
    <t>典型偏头痛做到100%推荐
VM相关学术活动参会学习诊断</t>
  </si>
  <si>
    <t>外部眩晕大会参会名额
外地中医院客户影响</t>
  </si>
  <si>
    <t>蒋彦婢</t>
  </si>
  <si>
    <t>足疗程观念迭代，推荐话术迭代</t>
  </si>
  <si>
    <t>门诊前提醒诊后及时复盘患者</t>
  </si>
  <si>
    <t>钱惠峰</t>
  </si>
  <si>
    <t>张云</t>
  </si>
  <si>
    <t>沟通话术优化，是否认可逆转病情</t>
  </si>
  <si>
    <t>董宏利</t>
  </si>
  <si>
    <t>沟通话术优化：止痛更治痛，降低发作频率</t>
  </si>
  <si>
    <t>高岚</t>
  </si>
  <si>
    <t>3-6个月足量足疗程传递，病例正反馈跟进。</t>
  </si>
  <si>
    <t>郭瑞永</t>
  </si>
  <si>
    <t>来迎龙</t>
  </si>
  <si>
    <t>提升瑞美推荐级别</t>
  </si>
  <si>
    <t>提高拜访率，紧盯客户处方变化</t>
  </si>
  <si>
    <t>周丽</t>
  </si>
  <si>
    <t>副院长，对于后续产品进院提单有助力，认可产品疗效</t>
  </si>
  <si>
    <t>搭建与徐运、张清秀交流机会、增强治痛管理的理念、融动头痛亚专业发展</t>
  </si>
  <si>
    <t>院内MDT</t>
  </si>
  <si>
    <t>孙晓燕</t>
  </si>
  <si>
    <t>眩晕专诊、VM相关鉴别诊断能力强、确实足疗程管理意识</t>
  </si>
  <si>
    <t>夜访融动；张甦琳教授观念影响</t>
  </si>
  <si>
    <t>三方会</t>
  </si>
  <si>
    <t>杜晓光</t>
  </si>
  <si>
    <t>刘文婷</t>
  </si>
  <si>
    <t>于海宁</t>
  </si>
  <si>
    <t>线上三方会</t>
  </si>
  <si>
    <t>王安宁</t>
  </si>
  <si>
    <t>时宝林</t>
  </si>
  <si>
    <t>田军</t>
  </si>
  <si>
    <t>李学昌</t>
  </si>
  <si>
    <t>田刘军</t>
  </si>
  <si>
    <t>了解偏头痛以及CGRP机制、门诊CM及MOH患者量大</t>
  </si>
  <si>
    <t>pc深度拜访，利用其它厂家共同融动</t>
  </si>
  <si>
    <t>范后宝</t>
  </si>
  <si>
    <t>主任并不认同瑞美吉泮用于偏头痛预防治疗，但提出，可为每位患者搭配 2 盒（每盒 2 片）瑞美吉泮，作为现有治疗方案的辅助用药</t>
  </si>
  <si>
    <t>尝试临采两片装瑞美吉泮</t>
  </si>
  <si>
    <t xml:space="preserve"> 12 月份基层培训班赞助</t>
  </si>
  <si>
    <t>肖利杰</t>
  </si>
  <si>
    <t>主任目前考虑瑞美吉泮费用较高，秉持阶梯治疗理念：仅对于现有治疗效果不佳、或无法耐受现有方案的患者，才考虑启用瑞美吉泮进行预防性治疗。</t>
  </si>
  <si>
    <t>1. 建议主任针对前庭性偏头痛（VM）患者避免采用一刀切的处理模式；对于月经相关性 VM 或合并耳部症状的 VM 患者，可考虑瑞美吉泮隔日给药方案。
2. 联动随访护士定向邀约 VM 患者，做好患者引导，积极引导患者返院复诊。</t>
  </si>
  <si>
    <t>单君君</t>
  </si>
  <si>
    <t xml:space="preserve"> 目前主任开展失眠和眩晕、焦虑抑郁门诊，有部分VM和偏头痛患者，目前不是很认可瑞美吉泮，更愿意文拉法辛等药物治疗 VM 和偏头痛，因为价格原因更愿意瑞美吉泮按需治疗</t>
  </si>
  <si>
    <t xml:space="preserve"> 再次介绍瑞美吉泮逆转头痛进程的优势，对于偏头痛合并失眠或精神问题的患者优势，门诊跟诊让主任推荐 2 个患者，进行随访，提供正反馈，建立治疗方案信心</t>
  </si>
  <si>
    <t>LB</t>
  </si>
  <si>
    <t>钱新宇</t>
  </si>
  <si>
    <t xml:space="preserve"> 1.对眩晕门诊的收治的患者有处方权利2.目前对患者管理较差，第一带药少，第二丢失率近 100%</t>
  </si>
  <si>
    <t>1.周二荣院眩晕门诊收的眩晕患者提醒病房使用2.出院宣教对出院时提醒患者带一盒瑞美，要求患者半个月后带头痛头晕日记复查</t>
  </si>
  <si>
    <t xml:space="preserve"> GD、PIM</t>
  </si>
  <si>
    <t>荣良群</t>
  </si>
  <si>
    <t xml:space="preserve"> 目前荣院同意使用瑞美吉泮，对吃传统治疗药物效果不佳，使用瑞美吉泮</t>
  </si>
  <si>
    <t>1.在门诊跟诊提供头痛头晕日记，联合慢诊护士对患者进行宣教，定期邀请患者复诊</t>
  </si>
  <si>
    <t>张俊</t>
  </si>
  <si>
    <t xml:space="preserve"> 摆烂型客户，占头痛亚专业牵头人，不发作学科</t>
  </si>
  <si>
    <t>1.维持拜访，2.寻找神经内科想发展客户，进行支持</t>
  </si>
  <si>
    <t xml:space="preserve"> PIM</t>
  </si>
  <si>
    <t>樊可成</t>
  </si>
  <si>
    <t>主要鼻窦炎等手术为主，记少数的患者耳部不适患者，并不与偏头痛进行关联，需加强学术拜访</t>
  </si>
  <si>
    <t>传递 CGRP 在耳部的机制，强瑞美吉泮对患者的获益，建议治疗</t>
  </si>
  <si>
    <t>GD</t>
  </si>
  <si>
    <t xml:space="preserve"> 1. 有头痛与肉毒毒素治疗门诊，患者比较少。 2.主任愿意肉毒素与瑞美吉泮联合治疗。</t>
  </si>
  <si>
    <t xml:space="preserve"> 1.协助发展头痛2.深度沟通合作，对病房患者进行使用并进行跟进</t>
  </si>
  <si>
    <t>龚爱平</t>
  </si>
  <si>
    <t xml:space="preserve"> 该主任为退休老专家门诊有头痛头晕患者，看中资源</t>
  </si>
  <si>
    <t>门诊跟诊、会议覆盖</t>
  </si>
  <si>
    <t>胡秀娟</t>
  </si>
  <si>
    <t>无眩晕患者，有就少耳部症状的患者，无偏头痛治疗意识</t>
  </si>
  <si>
    <t>疾病知识传递，CGRP 机制传递</t>
  </si>
  <si>
    <t>陈正威</t>
  </si>
  <si>
    <t xml:space="preserve"> 1.病房会有部分荣院收治的眩晕患者2.想搞头痛头晕目前刚升带组</t>
  </si>
  <si>
    <t xml:space="preserve"> 1.病房算先使用，对病房的患者先进行管理 2.沟通我们的所能提供支持的，3.详细沟通目前使用患者数量</t>
  </si>
  <si>
    <t>学会认知、发展机会</t>
  </si>
  <si>
    <t>曹幸毅</t>
  </si>
  <si>
    <t>1.主要以病房使用为主2.患者复诊率差</t>
  </si>
  <si>
    <t xml:space="preserve"> 院宣教对出院时提醒患者带一盒瑞美，要求患者半个月后带头痛头晕日记复查</t>
  </si>
  <si>
    <t>郑结弟</t>
  </si>
  <si>
    <t>院宣教对出院时提醒患者带一盒瑞美，要求患者半个月后带头痛头晕日记复查</t>
  </si>
  <si>
    <t>时宏娟</t>
  </si>
  <si>
    <t xml:space="preserve"> 资深治痛管理（Ambassador）</t>
  </si>
  <si>
    <t>1.头痛专家出诊不稳定，专病门诊少。2.月均有2000 头痛患者，头痛专病门诊只占 200-300。3.主任对诊断和瑞美吉泮的推荐率、推荐成功率，单次处方盒和患者管理都比较优</t>
  </si>
  <si>
    <t>通过301头痛中心体系介绍，成为中心的好处（科研、学会任职等等优势）要求主任积极建立中心 ，融动主任按照要求每周至少 3 个门诊</t>
  </si>
  <si>
    <t>三方会、LB</t>
  </si>
  <si>
    <t>李庆节</t>
  </si>
  <si>
    <t xml:space="preserve"> 治痛管理（Ambassador）</t>
  </si>
  <si>
    <t>1.头痛专诊出诊不稳定、不积极。2.单次处方数量需要提升。3.诊断率低，患者做太多检查流失率高。4.复诊率低</t>
  </si>
  <si>
    <t>1.画饼展望融动主任稳定出诊。2.再次强调头痛日记和瑞美吉泮的配套治疗方案。3.再次介绍不同头痛发作频率的治疗方案，以逆转疾病进程</t>
  </si>
  <si>
    <t>杜德亮</t>
  </si>
  <si>
    <t>1.眩晕患者都诊断为耳石症，要再上机器检查前，应问患者有木有偏头痛病史或者眩晕发作时有没有偏头痛相关症状</t>
  </si>
  <si>
    <t xml:space="preserve"> 1.融动主任再上机器检查前，应问患者有木有偏头痛病史或者眩晕发作时有没有偏头痛相关症状，提前告知患者可能是前庭性偏头痛，对患者再细分是否可以接受靶向药物治疗不接受再上机器</t>
  </si>
  <si>
    <t xml:space="preserve"> LB</t>
  </si>
  <si>
    <t>耿德勤</t>
  </si>
  <si>
    <t xml:space="preserve"> 1.退休科主任有高级专家门诊，高级专家门诊患者质量高，更容易接受瑞美吉泮 2.传递瑞美吉泮的优势和使用 id migraine诊断偏头痛，提高诊断率 3.不同发展频率制定不同治疗方案已逆转头痛</t>
  </si>
  <si>
    <t xml:space="preserve"> 高级专家门诊跟诊，提供患者教育手册，头痛视觉表，已经问诊要点，对偏头痛患者首推瑞美吉泮</t>
  </si>
  <si>
    <t>王采集</t>
  </si>
  <si>
    <t>1.眩晕中心主任，眩晕患者集中 2.存在反复发作的眩晕患者（依旧诊断耳石症复发）3.MD 和偏头痛患者目前可以切入 4.不接受公司会议</t>
  </si>
  <si>
    <t xml:space="preserve"> 从治疗角度融动主任使用，例如偏头痛合并 MD，前庭性偏头痛伴有耳部症状患者体验使用</t>
  </si>
  <si>
    <t>陈敏</t>
  </si>
  <si>
    <t>1.不接受合作2.反应冷漠 3.不诊断 VM4.无发作需求，摆烂型客户</t>
  </si>
  <si>
    <t>让带组指挥使用</t>
  </si>
  <si>
    <t>PIM</t>
  </si>
  <si>
    <t>徐冰</t>
  </si>
  <si>
    <t>李宛桐</t>
  </si>
  <si>
    <t xml:space="preserve"> 接受合作，也推荐。但推荐成功率差</t>
  </si>
  <si>
    <t>门诊跟诊，了解主任门诊如何推荐的，要问出患者痛点，切入瑞美吉泮的使用</t>
  </si>
  <si>
    <t>唐海</t>
  </si>
  <si>
    <t>主任方向主要以癫痫为主，主任反馈癫痫患者有合并头痛的患者，主动提出有患者。不接受 公司会议</t>
  </si>
  <si>
    <t>先画饼融动使用瑞美吉泮</t>
  </si>
  <si>
    <t>王敦敬</t>
  </si>
  <si>
    <t xml:space="preserve"> 有患者头痛患者，目前诊断能力差，对产品应用不够深刻</t>
  </si>
  <si>
    <t xml:space="preserve"> 进行诊断、治疗、管理全程管理，在诊断提供 ID migraine和视觉量表、传递瑞美吉泮治疗价值、提供头痛日记，患者随访提供正反馈</t>
  </si>
  <si>
    <t>辛宁</t>
  </si>
  <si>
    <t xml:space="preserve"> 外出学习暂时脱产</t>
  </si>
  <si>
    <t>战文建</t>
  </si>
  <si>
    <t>头痛/肿瘤</t>
  </si>
  <si>
    <t xml:space="preserve"> 擅长药物难治性偏头痛的治疗</t>
  </si>
  <si>
    <t xml:space="preserve">  1.介绍辉瑞在推广头痛领域做出的成绩2 介绍产品治疗价值、介绍头痛领域的未来价值，3.融动主任开展头痛专病门诊、产品使用合作</t>
  </si>
  <si>
    <t xml:space="preserve"> GD</t>
  </si>
  <si>
    <t>谷佳</t>
  </si>
  <si>
    <t>神经痛/肿瘤</t>
  </si>
  <si>
    <t xml:space="preserve"> 1. 擅长神经病理性头痛2.周一门诊患者量大.3.在头痛 MDT 团队</t>
  </si>
  <si>
    <t xml:space="preserve"> 1.产品优势介绍2.合作价值融动主任现在头痛患者使用瑞美吉泮 3.融动主任开展头痛专病门诊，协助诊断、治疗、管理</t>
  </si>
  <si>
    <t>许恒</t>
  </si>
  <si>
    <t xml:space="preserve"> 1.新晋升的副主任医师有发展需求2.擅长神经病理性疼痛，3.无头痛擅长标签</t>
  </si>
  <si>
    <t xml:space="preserve">  1.介绍我们可以提供的资源，促进产品使用2.在个人介绍加上头痛、偏头痛标签。3、融动开展头痛专病门诊，联合瑞美吉泮使用</t>
  </si>
  <si>
    <t>陈立平</t>
  </si>
  <si>
    <t xml:space="preserve"> 1.有一定客情基础2.认可 CGRP 治疗机制，对 CGRP 有独特理解认为三叉神经相关疼痛都和 CGRP 相关 3.无头痛患者，个人介绍无头痛擅长 4.无头痛专诊，</t>
  </si>
  <si>
    <t>1.个人介绍加上头痛、偏头痛的擅长2.融动开展头痛专病门诊</t>
  </si>
  <si>
    <t>马丽丽</t>
  </si>
  <si>
    <t>头痛专病门诊建设，CDSS规范化病例接入医院系统，提升偏头痛诊断率，提高瑞美推荐成功率</t>
  </si>
  <si>
    <t>明确目标患者画像，诊前前置拜访，及时复盘未推荐成功患者，优化推荐话术</t>
  </si>
  <si>
    <t>GD、PO会议讲者，三方会议讲者，讨论</t>
  </si>
  <si>
    <t>李湘青</t>
  </si>
  <si>
    <t>提升偏头痛诊断率，提高瑞美推荐等级</t>
  </si>
  <si>
    <t>GD会议覆盖，传递偏头痛诊断及瑞美优势，真实病例正反馈，提升用药信心</t>
  </si>
  <si>
    <t>GD会议</t>
  </si>
  <si>
    <t>刘建强</t>
  </si>
  <si>
    <t>融动西院区建设头痛专病门诊，提升头痛患者归拢度，提升诊断率</t>
  </si>
  <si>
    <t>三方会议覆盖，利用外部专家观念影响，重视头痛领域发展</t>
  </si>
  <si>
    <t>GD、三方会议讲者，讨论</t>
  </si>
  <si>
    <t>姜宏</t>
  </si>
  <si>
    <t>田杰</t>
  </si>
  <si>
    <t>融动重视VM领域，提升VM诊断，提升个人在眩晕领域影响力，提升瑞美推荐等级</t>
  </si>
  <si>
    <t>三方会议覆盖，外部专家观念影响，重视VM领域，PSR协助随访，增加正反馈，提升用药信心</t>
  </si>
  <si>
    <t>罗珊珊</t>
  </si>
  <si>
    <t>GD、PO会议覆盖，真实病例反馈，提升推荐信心及推荐成功率</t>
  </si>
  <si>
    <t>GD、PO讲者</t>
  </si>
  <si>
    <t>高怀清</t>
  </si>
  <si>
    <t>韩淼淼</t>
  </si>
  <si>
    <t>融动重视VM领域，提升VM诊断，真实病例反馈，提升瑞美推荐等级</t>
  </si>
  <si>
    <t>GD会议覆盖，传递当前VM领域发展，提升病例正反馈，增加推荐信心</t>
  </si>
  <si>
    <t>GD、三方会议讨论</t>
  </si>
  <si>
    <t>赵慎林</t>
  </si>
  <si>
    <t>于海洋</t>
  </si>
  <si>
    <t>王莹</t>
  </si>
  <si>
    <t>孟叶</t>
  </si>
  <si>
    <t>甘红梅</t>
  </si>
  <si>
    <t>董瑞剑</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</si>
</sst>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_);[Red]\(0\)"/>
  </numFmts>
  <fonts count="32">
    <font>
      <sz val="11"/>
      <color theme="1"/>
      <name val="宋体"/>
      <charset val="134"/>
    </font>
    <font>
      <sz val="11"/>
      <color rgb="FF000000"/>
      <name val="宋体"/>
      <charset val="134"/>
    </font>
    <font>
      <sz val="10"/>
      <color rgb="FF000000"/>
      <name val="微软雅黑"/>
      <charset val="134"/>
    </font>
    <font>
      <b/>
      <sz val="11"/>
      <color rgb="FFFFFFFF"/>
      <name val="宋体"/>
      <charset val="134"/>
    </font>
    <font>
      <b/>
      <sz val="11"/>
      <color rgb="FF000000"/>
      <name val="宋体"/>
      <charset val="134"/>
    </font>
    <font>
      <b/>
      <sz val="10"/>
      <color rgb="FF000000"/>
      <name val="微软雅黑"/>
      <charset val="134"/>
    </font>
    <font>
      <b/>
      <sz val="11"/>
      <color rgb="FF92D050"/>
      <name val="宋体"/>
      <charset val="134"/>
    </font>
    <font>
      <b/>
      <sz val="10"/>
      <name val="宋体"/>
      <charset val="134"/>
    </font>
    <font>
      <sz val="11"/>
      <color theme="1"/>
      <name val="Calibri"/>
      <charset val="134"/>
    </font>
    <font>
      <sz val="10"/>
      <name val="宋体"/>
      <charset val="134"/>
    </font>
    <font>
      <sz val="11"/>
      <name val="宋体"/>
      <charset val="134"/>
    </font>
    <font>
      <sz val="10"/>
      <color rgb="FF92D050"/>
      <name val="宋体"/>
      <charset val="134"/>
    </font>
    <font>
      <sz val="10"/>
      <color rgb="FFFFC000"/>
      <name val="宋体"/>
      <charset val="134"/>
    </font>
    <font>
      <sz val="11"/>
      <color rgb="FF92D050"/>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
      <b/>
      <sz val="11"/>
      <color rgb="FFFFC000"/>
      <name val="宋体"/>
      <charset val="134"/>
    </font>
  </fonts>
  <fills count="43">
    <fill>
      <patternFill patternType="none"/>
    </fill>
    <fill>
      <patternFill patternType="gray125"/>
    </fill>
    <fill>
      <patternFill patternType="solid">
        <fgColor rgb="FFFFFF00"/>
        <bgColor indexed="64"/>
      </patternFill>
    </fill>
    <fill>
      <patternFill patternType="solid">
        <fgColor rgb="FF5B9BD5"/>
        <bgColor indexed="64"/>
      </patternFill>
    </fill>
    <fill>
      <patternFill patternType="solid">
        <fgColor rgb="FFF4B183"/>
        <bgColor indexed="64"/>
      </patternFill>
    </fill>
    <fill>
      <patternFill patternType="solid">
        <fgColor rgb="FFD9EAF7"/>
        <bgColor indexed="64"/>
      </patternFill>
    </fill>
    <fill>
      <patternFill patternType="solid">
        <fgColor rgb="FFE2F0D9"/>
        <bgColor indexed="64"/>
      </patternFill>
    </fill>
    <fill>
      <patternFill patternType="solid">
        <fgColor rgb="FFFFD966"/>
        <bgColor indexed="64"/>
      </patternFill>
    </fill>
    <fill>
      <patternFill patternType="solid">
        <fgColor rgb="FFFFC000"/>
        <bgColor indexed="64"/>
      </patternFill>
    </fill>
    <fill>
      <patternFill patternType="solid">
        <fgColor rgb="FF92D050"/>
        <bgColor indexed="64"/>
      </patternFill>
    </fill>
    <fill>
      <patternFill patternType="solid">
        <fgColor rgb="FFDDEBF7"/>
        <bgColor indexed="64"/>
      </patternFill>
    </fill>
    <fill>
      <patternFill patternType="solid">
        <fgColor theme="6"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2">
    <border>
      <left/>
      <right/>
      <top/>
      <bottom/>
      <diagonal/>
    </border>
    <border>
      <left style="thin">
        <color rgb="FFA6A6A6"/>
      </left>
      <right style="thin">
        <color rgb="FFA6A6A6"/>
      </right>
      <top style="thin">
        <color rgb="FFA6A6A6"/>
      </top>
      <bottom style="thin">
        <color rgb="FFA6A6A6"/>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4" fillId="0" borderId="0">
      <alignment vertical="center"/>
    </xf>
    <xf numFmtId="0" fontId="15" fillId="0" borderId="0">
      <alignment vertical="center"/>
    </xf>
    <xf numFmtId="0" fontId="0" fillId="12" borderId="4">
      <alignment vertical="center"/>
    </xf>
    <xf numFmtId="0" fontId="16" fillId="0" borderId="0">
      <alignment vertical="center"/>
    </xf>
    <xf numFmtId="0" fontId="17" fillId="0" borderId="0">
      <alignment vertical="center"/>
    </xf>
    <xf numFmtId="0" fontId="18" fillId="0" borderId="0">
      <alignment vertical="center"/>
    </xf>
    <xf numFmtId="0" fontId="19" fillId="0" borderId="5">
      <alignment vertical="center"/>
    </xf>
    <xf numFmtId="0" fontId="20" fillId="0" borderId="5">
      <alignment vertical="center"/>
    </xf>
    <xf numFmtId="0" fontId="21" fillId="0" borderId="6">
      <alignment vertical="center"/>
    </xf>
    <xf numFmtId="0" fontId="21" fillId="0" borderId="0">
      <alignment vertical="center"/>
    </xf>
    <xf numFmtId="0" fontId="22" fillId="13" borderId="7">
      <alignment vertical="center"/>
    </xf>
    <xf numFmtId="0" fontId="23" fillId="14" borderId="8">
      <alignment vertical="center"/>
    </xf>
    <xf numFmtId="0" fontId="24" fillId="14" borderId="7">
      <alignment vertical="center"/>
    </xf>
    <xf numFmtId="0" fontId="3" fillId="15" borderId="9">
      <alignment vertical="center"/>
    </xf>
    <xf numFmtId="0" fontId="25" fillId="0" borderId="10">
      <alignment vertical="center"/>
    </xf>
    <xf numFmtId="0" fontId="26" fillId="0" borderId="11">
      <alignment vertical="center"/>
    </xf>
    <xf numFmtId="0" fontId="27" fillId="16" borderId="0">
      <alignment vertical="center"/>
    </xf>
    <xf numFmtId="0" fontId="28" fillId="17" borderId="0">
      <alignment vertical="center"/>
    </xf>
    <xf numFmtId="0" fontId="29" fillId="18" borderId="0">
      <alignment vertical="center"/>
    </xf>
    <xf numFmtId="0" fontId="30" fillId="19" borderId="0">
      <alignment vertical="center"/>
    </xf>
    <xf numFmtId="0" fontId="0" fillId="20" borderId="0">
      <alignment vertical="center"/>
    </xf>
    <xf numFmtId="0" fontId="0" fillId="21" borderId="0">
      <alignment vertical="center"/>
    </xf>
    <xf numFmtId="0" fontId="30" fillId="22" borderId="0">
      <alignment vertical="center"/>
    </xf>
    <xf numFmtId="0" fontId="30" fillId="23" borderId="0">
      <alignment vertical="center"/>
    </xf>
    <xf numFmtId="0" fontId="0" fillId="24" borderId="0">
      <alignment vertical="center"/>
    </xf>
    <xf numFmtId="0" fontId="0" fillId="25" borderId="0">
      <alignment vertical="center"/>
    </xf>
    <xf numFmtId="0" fontId="30" fillId="26" borderId="0">
      <alignment vertical="center"/>
    </xf>
    <xf numFmtId="0" fontId="30" fillId="27" borderId="0">
      <alignment vertical="center"/>
    </xf>
    <xf numFmtId="0" fontId="0" fillId="28" borderId="0">
      <alignment vertical="center"/>
    </xf>
    <xf numFmtId="0" fontId="0" fillId="29" borderId="0">
      <alignment vertical="center"/>
    </xf>
    <xf numFmtId="0" fontId="30" fillId="30" borderId="0">
      <alignment vertical="center"/>
    </xf>
    <xf numFmtId="0" fontId="30" fillId="31" borderId="0">
      <alignment vertical="center"/>
    </xf>
    <xf numFmtId="0" fontId="0" fillId="32" borderId="0">
      <alignment vertical="center"/>
    </xf>
    <xf numFmtId="0" fontId="0" fillId="33" borderId="0">
      <alignment vertical="center"/>
    </xf>
    <xf numFmtId="0" fontId="30" fillId="34" borderId="0">
      <alignment vertical="center"/>
    </xf>
    <xf numFmtId="0" fontId="30" fillId="35" borderId="0">
      <alignment vertical="center"/>
    </xf>
    <xf numFmtId="0" fontId="0" fillId="36" borderId="0">
      <alignment vertical="center"/>
    </xf>
    <xf numFmtId="0" fontId="0" fillId="37" borderId="0">
      <alignment vertical="center"/>
    </xf>
    <xf numFmtId="0" fontId="30" fillId="38" borderId="0">
      <alignment vertical="center"/>
    </xf>
    <xf numFmtId="0" fontId="30" fillId="39" borderId="0">
      <alignment vertical="center"/>
    </xf>
    <xf numFmtId="0" fontId="0" fillId="40" borderId="0">
      <alignment vertical="center"/>
    </xf>
    <xf numFmtId="0" fontId="0" fillId="41" borderId="0">
      <alignment vertical="center"/>
    </xf>
    <xf numFmtId="0" fontId="30" fillId="42" borderId="0">
      <alignment vertical="center"/>
    </xf>
  </cellStyleXfs>
  <cellXfs count="59">
    <xf numFmtId="0" fontId="0" fillId="0" borderId="0" xfId="0" applyAlignment="1">
      <alignment vertical="center"/>
    </xf>
    <xf numFmtId="0" fontId="1" fillId="2" borderId="0" xfId="0" applyNumberFormat="1" applyFont="1" applyFill="1" applyBorder="1" applyAlignment="1">
      <alignment horizontal="center" vertical="center"/>
    </xf>
    <xf numFmtId="0" fontId="2" fillId="2" borderId="0"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4" borderId="1" xfId="0" applyNumberFormat="1" applyFont="1" applyFill="1" applyBorder="1" applyAlignment="1">
      <alignment horizontal="center" vertical="center" wrapText="1"/>
    </xf>
    <xf numFmtId="0" fontId="4" fillId="5" borderId="1" xfId="0" applyNumberFormat="1" applyFont="1" applyFill="1" applyBorder="1" applyAlignment="1">
      <alignment horizontal="center" vertical="center" wrapText="1"/>
    </xf>
    <xf numFmtId="0" fontId="4" fillId="6" borderId="1" xfId="0" applyNumberFormat="1" applyFont="1" applyFill="1" applyBorder="1" applyAlignment="1">
      <alignment horizontal="center" vertical="center" wrapText="1"/>
    </xf>
    <xf numFmtId="0" fontId="4" fillId="7" borderId="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3" fontId="2" fillId="0" borderId="1" xfId="0" applyNumberFormat="1" applyFont="1" applyFill="1" applyBorder="1" applyAlignment="1">
      <alignment horizontal="center" vertical="center" wrapText="1"/>
    </xf>
    <xf numFmtId="3" fontId="2" fillId="8" borderId="1" xfId="0" applyNumberFormat="1" applyFont="1" applyFill="1" applyBorder="1" applyAlignment="1">
      <alignment horizontal="center" vertical="center" wrapText="1"/>
    </xf>
    <xf numFmtId="0" fontId="2" fillId="8" borderId="1" xfId="0" applyNumberFormat="1" applyFont="1" applyFill="1" applyBorder="1" applyAlignment="1">
      <alignment horizontal="left" vertical="center" wrapText="1"/>
    </xf>
    <xf numFmtId="0" fontId="5" fillId="9" borderId="1" xfId="0" applyNumberFormat="1" applyFont="1" applyFill="1" applyBorder="1" applyAlignment="1">
      <alignment horizontal="center" vertical="center" wrapText="1"/>
    </xf>
    <xf numFmtId="3" fontId="5" fillId="9" borderId="1" xfId="0" applyNumberFormat="1" applyFont="1" applyFill="1" applyBorder="1" applyAlignment="1">
      <alignment horizontal="center" vertical="center" wrapText="1"/>
    </xf>
    <xf numFmtId="0" fontId="5" fillId="9" borderId="1" xfId="0" applyNumberFormat="1" applyFont="1" applyFill="1" applyBorder="1" applyAlignment="1">
      <alignment horizontal="left" vertical="center" wrapText="1"/>
    </xf>
    <xf numFmtId="0" fontId="5" fillId="8" borderId="1" xfId="0" applyNumberFormat="1" applyFont="1" applyFill="1" applyBorder="1" applyAlignment="1">
      <alignment horizontal="center" vertical="center" wrapText="1"/>
    </xf>
    <xf numFmtId="3" fontId="5" fillId="8" borderId="1" xfId="0" applyNumberFormat="1" applyFont="1" applyFill="1" applyBorder="1" applyAlignment="1">
      <alignment horizontal="center" vertical="center" wrapText="1"/>
    </xf>
    <xf numFmtId="0" fontId="5" fillId="8" borderId="1" xfId="0" applyNumberFormat="1" applyFont="1" applyFill="1" applyBorder="1" applyAlignment="1">
      <alignment horizontal="left"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8" borderId="2" xfId="0" applyFill="1" applyBorder="1" applyAlignment="1">
      <alignment horizontal="center" vertical="center"/>
    </xf>
    <xf numFmtId="9" fontId="0" fillId="0" borderId="2" xfId="0" applyNumberFormat="1" applyBorder="1" applyAlignment="1">
      <alignment horizontal="center" vertical="center"/>
    </xf>
    <xf numFmtId="9" fontId="0" fillId="8" borderId="2" xfId="0" applyNumberFormat="1" applyFill="1" applyBorder="1" applyAlignment="1">
      <alignment horizontal="center" vertical="center"/>
    </xf>
    <xf numFmtId="0" fontId="0" fillId="8" borderId="2" xfId="0" applyFill="1" applyBorder="1" applyAlignment="1">
      <alignment horizontal="center" vertical="center" wrapText="1"/>
    </xf>
    <xf numFmtId="0" fontId="6" fillId="0" borderId="2" xfId="0" applyFont="1" applyBorder="1" applyAlignment="1">
      <alignment horizontal="center" vertical="center" wrapText="1"/>
    </xf>
    <xf numFmtId="0" fontId="0" fillId="2" borderId="2" xfId="0" applyFill="1" applyBorder="1" applyAlignment="1">
      <alignment horizontal="center" vertical="center"/>
    </xf>
    <xf numFmtId="0" fontId="0" fillId="0" borderId="2" xfId="0" applyFill="1" applyBorder="1" applyAlignment="1">
      <alignment horizontal="center" vertical="center"/>
    </xf>
    <xf numFmtId="9" fontId="0" fillId="2" borderId="2" xfId="0" applyNumberFormat="1" applyFill="1" applyBorder="1" applyAlignment="1">
      <alignment horizontal="center" vertical="center"/>
    </xf>
    <xf numFmtId="0" fontId="0" fillId="2" borderId="2" xfId="0" applyFill="1" applyBorder="1" applyAlignment="1">
      <alignment horizontal="center" vertical="center" wrapText="1"/>
    </xf>
    <xf numFmtId="0" fontId="7" fillId="10" borderId="2" xfId="0" applyFont="1" applyFill="1" applyBorder="1" applyAlignment="1">
      <alignment horizontal="center" vertical="center"/>
    </xf>
    <xf numFmtId="0" fontId="7" fillId="10" borderId="3" xfId="0" applyFont="1" applyFill="1" applyBorder="1" applyAlignment="1">
      <alignment horizontal="center" vertical="center"/>
    </xf>
    <xf numFmtId="0" fontId="8" fillId="11" borderId="2" xfId="0" applyFont="1" applyFill="1" applyBorder="1" applyAlignment="1">
      <alignment horizontal="center" vertical="center" wrapText="1"/>
    </xf>
    <xf numFmtId="0" fontId="8" fillId="11" borderId="2" xfId="0" applyFont="1" applyFill="1" applyBorder="1" applyAlignment="1">
      <alignment horizontal="center" vertical="center"/>
    </xf>
    <xf numFmtId="0" fontId="7" fillId="10" borderId="2" xfId="0" applyFont="1" applyFill="1" applyBorder="1" applyAlignment="1">
      <alignment horizontal="center" vertical="center" wrapText="1"/>
    </xf>
    <xf numFmtId="0" fontId="7" fillId="8" borderId="2" xfId="0" applyFont="1" applyFill="1" applyBorder="1" applyAlignment="1">
      <alignment horizontal="center" vertical="center" wrapText="1"/>
    </xf>
    <xf numFmtId="9" fontId="7" fillId="10" borderId="2" xfId="0" applyNumberFormat="1" applyFont="1" applyFill="1" applyBorder="1" applyAlignment="1">
      <alignment horizontal="center" vertical="center" wrapText="1"/>
    </xf>
    <xf numFmtId="0" fontId="7" fillId="8" borderId="2" xfId="0" applyFont="1" applyFill="1" applyBorder="1" applyAlignment="1">
      <alignment horizontal="center" vertical="center"/>
    </xf>
    <xf numFmtId="9" fontId="7" fillId="8" borderId="2" xfId="0" applyNumberFormat="1" applyFont="1" applyFill="1" applyBorder="1" applyAlignment="1">
      <alignment horizontal="center" vertical="center" wrapText="1"/>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0" fillId="0" borderId="2" xfId="0" applyBorder="1" applyAlignment="1">
      <alignment horizontal="center" vertical="center"/>
    </xf>
    <xf numFmtId="3" fontId="9" fillId="0" borderId="2" xfId="0" applyNumberFormat="1" applyFont="1" applyBorder="1" applyAlignment="1">
      <alignment horizontal="center" vertical="center"/>
    </xf>
    <xf numFmtId="0" fontId="10" fillId="0" borderId="2" xfId="0" applyFont="1" applyBorder="1" applyAlignment="1">
      <alignment horizontal="center" vertical="center"/>
    </xf>
    <xf numFmtId="176" fontId="10" fillId="0" borderId="2" xfId="0" applyNumberFormat="1" applyFont="1" applyBorder="1" applyAlignment="1">
      <alignment horizontal="center" vertical="center"/>
    </xf>
    <xf numFmtId="0" fontId="9" fillId="8" borderId="2" xfId="0" applyFont="1" applyFill="1" applyBorder="1" applyAlignment="1">
      <alignment horizontal="center" vertical="center"/>
    </xf>
    <xf numFmtId="9" fontId="9" fillId="0" borderId="2" xfId="0" applyNumberFormat="1" applyFont="1" applyFill="1" applyBorder="1" applyAlignment="1">
      <alignment horizontal="center" vertical="center"/>
    </xf>
    <xf numFmtId="177" fontId="9" fillId="8" borderId="2" xfId="0" applyNumberFormat="1" applyFont="1" applyFill="1" applyBorder="1" applyAlignment="1">
      <alignment horizontal="center" vertical="center"/>
    </xf>
    <xf numFmtId="0" fontId="9" fillId="8" borderId="2" xfId="0" applyFont="1" applyFill="1" applyBorder="1" applyAlignment="1">
      <alignment horizontal="center" vertical="center" wrapText="1"/>
    </xf>
    <xf numFmtId="0" fontId="10" fillId="8" borderId="2" xfId="0" applyFont="1" applyFill="1" applyBorder="1" applyAlignment="1">
      <alignment horizontal="center" vertical="center" wrapText="1"/>
    </xf>
    <xf numFmtId="0" fontId="11" fillId="0" borderId="2" xfId="0" applyFont="1" applyBorder="1" applyAlignment="1">
      <alignment horizontal="center" vertical="center"/>
    </xf>
    <xf numFmtId="0" fontId="8" fillId="0" borderId="2" xfId="0" applyFont="1" applyFill="1" applyBorder="1" applyAlignment="1">
      <alignment horizontal="center" vertical="center"/>
    </xf>
    <xf numFmtId="0" fontId="12" fillId="0" borderId="2" xfId="0" applyFont="1" applyBorder="1" applyAlignment="1">
      <alignment horizontal="center" vertical="center"/>
    </xf>
    <xf numFmtId="0" fontId="1" fillId="0" borderId="2" xfId="0" applyFont="1" applyFill="1" applyBorder="1" applyAlignment="1">
      <alignment horizontal="center" vertical="center"/>
    </xf>
    <xf numFmtId="176" fontId="0" fillId="0" borderId="2" xfId="0" applyNumberFormat="1" applyBorder="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9" fontId="0" fillId="0" borderId="2" xfId="0" applyNumberFormat="1" applyFont="1" applyFill="1" applyBorder="1" applyAlignment="1">
      <alignment horizontal="center" vertical="center"/>
    </xf>
    <xf numFmtId="9" fontId="9" fillId="8" borderId="2" xfId="0" applyNumberFormat="1" applyFont="1" applyFill="1" applyBorder="1" applyAlignment="1">
      <alignment horizontal="center" vertical="center"/>
    </xf>
    <xf numFmtId="0" fontId="13" fillId="0" borderId="2"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34"/>
  <sheetViews>
    <sheetView workbookViewId="0">
      <selection activeCell="F19" sqref="F19:H19"/>
    </sheetView>
  </sheetViews>
  <sheetFormatPr defaultColWidth="28.8461538461538" defaultRowHeight="16.8"/>
  <cols>
    <col min="1" max="1" width="50.2307692307692" style="18" customWidth="1"/>
    <col min="2" max="2" width="9.23076923076923" style="18" customWidth="1"/>
    <col min="3" max="3" width="7.30769230769231" style="18" customWidth="1"/>
    <col min="4" max="4" width="14.5384615384615" style="18" customWidth="1"/>
    <col min="5" max="5" width="11.6153846153846" style="19" customWidth="1"/>
    <col min="6" max="6" width="20.3846153846154" style="18" customWidth="1"/>
    <col min="7" max="7" width="10.4615384615385" style="18" customWidth="1"/>
    <col min="8" max="8" width="36.3076923076923" style="18" customWidth="1"/>
    <col min="9" max="14" width="14.8461538461538" style="18" customWidth="1"/>
    <col min="15" max="15" width="9.23076923076923" style="18" customWidth="1"/>
    <col min="16" max="16" width="11.2307692307692" style="18" customWidth="1"/>
    <col min="17" max="17" width="11.3461538461538" style="18" customWidth="1"/>
    <col min="18" max="18" width="10.3846153846154" style="18" customWidth="1"/>
    <col min="19" max="19" width="11.3461538461538" style="18" customWidth="1"/>
    <col min="20" max="20" width="14.2307692307692" style="18" customWidth="1"/>
    <col min="21" max="21" width="10.3846153846154" style="18" customWidth="1"/>
    <col min="22" max="22" width="14.2307692307692" style="20" customWidth="1"/>
    <col min="23" max="23" width="10.3846153846154" style="18" customWidth="1"/>
    <col min="24" max="24" width="6.69230769230769" style="18" customWidth="1"/>
    <col min="25" max="26" width="6.61538461538461" style="18" customWidth="1"/>
    <col min="27" max="27" width="6.84615384615385" style="18" customWidth="1"/>
    <col min="28" max="28" width="13.6538461538462" style="21" customWidth="1"/>
    <col min="29" max="30" width="13.4615384615385" style="21" customWidth="1"/>
    <col min="31" max="31" width="13.6538461538462" style="21" customWidth="1"/>
    <col min="32" max="35" width="9.23076923076923" style="18" customWidth="1"/>
    <col min="36" max="37" width="13.4615384615385" style="18" customWidth="1"/>
    <col min="38" max="38" width="18.4615384615385" style="20" customWidth="1"/>
    <col min="39" max="39" width="12.4615384615385" style="20" customWidth="1"/>
    <col min="40" max="40" width="17.5" style="22" customWidth="1"/>
    <col min="41" max="42" width="17.3076923076923" style="22" customWidth="1"/>
    <col min="43" max="43" width="17.5" style="22" customWidth="1"/>
    <col min="44" max="44" width="33.8461538461538" style="23" customWidth="1"/>
    <col min="45" max="45" width="49.6153846153846" style="23" customWidth="1"/>
    <col min="46" max="46" width="82.1153846153846" style="23" customWidth="1"/>
    <col min="47" max="47" width="37.8846153846154" style="23" customWidth="1"/>
    <col min="48" max="16384" width="28.8461538461538" style="18" customWidth="1"/>
  </cols>
  <sheetData>
    <row r="1" ht="39" customHeight="1" spans="1:47">
      <c r="A1" s="24" t="s">
        <v>0</v>
      </c>
      <c r="Q1" s="25" t="s">
        <v>1</v>
      </c>
      <c r="R1" s="25"/>
      <c r="S1" s="25"/>
      <c r="T1" s="25"/>
      <c r="U1" s="25"/>
      <c r="V1" s="26"/>
      <c r="AL1" s="25"/>
      <c r="AM1" s="25" t="s">
        <v>2</v>
      </c>
      <c r="AN1" s="27"/>
      <c r="AO1" s="27"/>
      <c r="AP1" s="27"/>
      <c r="AQ1" s="27"/>
      <c r="AR1" s="28"/>
      <c r="AS1" s="28"/>
      <c r="AT1" s="28"/>
      <c r="AU1" s="28"/>
    </row>
    <row r="2" ht="39" customHeight="1" spans="1:47">
      <c r="A2" s="29" t="s">
        <v>3</v>
      </c>
      <c r="B2" s="29" t="s">
        <v>4</v>
      </c>
      <c r="C2" s="29" t="s">
        <v>5</v>
      </c>
      <c r="D2" s="29" t="s">
        <v>6</v>
      </c>
      <c r="E2" s="30" t="s">
        <v>7</v>
      </c>
      <c r="F2" s="31" t="s">
        <v>8</v>
      </c>
      <c r="G2" s="32" t="s">
        <v>9</v>
      </c>
      <c r="H2" s="31" t="s">
        <v>10</v>
      </c>
      <c r="I2" s="29" t="s">
        <v>11</v>
      </c>
      <c r="J2" s="29" t="s">
        <v>12</v>
      </c>
      <c r="K2" s="29" t="s">
        <v>13</v>
      </c>
      <c r="L2" s="29" t="s">
        <v>14</v>
      </c>
      <c r="M2" s="29" t="s">
        <v>15</v>
      </c>
      <c r="N2" s="29" t="s">
        <v>16</v>
      </c>
      <c r="O2" s="29" t="s">
        <v>17</v>
      </c>
      <c r="P2" s="29" t="s">
        <v>18</v>
      </c>
      <c r="Q2" s="33" t="s">
        <v>19</v>
      </c>
      <c r="R2" s="33" t="s">
        <v>20</v>
      </c>
      <c r="S2" s="33" t="s">
        <v>21</v>
      </c>
      <c r="T2" s="33" t="s">
        <v>22</v>
      </c>
      <c r="U2" s="33" t="s">
        <v>23</v>
      </c>
      <c r="V2" s="34" t="s">
        <v>24</v>
      </c>
      <c r="W2" s="33" t="s">
        <v>25</v>
      </c>
      <c r="X2" s="29" t="s">
        <v>26</v>
      </c>
      <c r="Y2" s="29" t="s">
        <v>27</v>
      </c>
      <c r="Z2" s="29" t="s">
        <v>28</v>
      </c>
      <c r="AA2" s="29" t="s">
        <v>29</v>
      </c>
      <c r="AB2" s="35" t="s">
        <v>30</v>
      </c>
      <c r="AC2" s="35" t="s">
        <v>31</v>
      </c>
      <c r="AD2" s="35" t="s">
        <v>32</v>
      </c>
      <c r="AE2" s="35" t="s">
        <v>33</v>
      </c>
      <c r="AF2" s="29" t="s">
        <v>34</v>
      </c>
      <c r="AG2" s="29" t="s">
        <v>35</v>
      </c>
      <c r="AH2" s="29" t="s">
        <v>36</v>
      </c>
      <c r="AI2" s="29" t="s">
        <v>37</v>
      </c>
      <c r="AJ2" s="29" t="s">
        <v>38</v>
      </c>
      <c r="AK2" s="29" t="s">
        <v>39</v>
      </c>
      <c r="AL2" s="34" t="s">
        <v>40</v>
      </c>
      <c r="AM2" s="36" t="s">
        <v>41</v>
      </c>
      <c r="AN2" s="37" t="s">
        <v>42</v>
      </c>
      <c r="AO2" s="37" t="s">
        <v>43</v>
      </c>
      <c r="AP2" s="37" t="s">
        <v>44</v>
      </c>
      <c r="AQ2" s="37" t="s">
        <v>45</v>
      </c>
      <c r="AR2" s="34" t="s">
        <v>46</v>
      </c>
      <c r="AS2" s="34" t="s">
        <v>47</v>
      </c>
      <c r="AT2" s="34" t="s">
        <v>48</v>
      </c>
      <c r="AU2" s="34" t="s">
        <v>49</v>
      </c>
    </row>
    <row r="3" ht="39" customHeight="1" spans="1:47">
      <c r="A3" s="38" t="s">
        <v>50</v>
      </c>
      <c r="B3" s="38" t="s">
        <v>51</v>
      </c>
      <c r="C3" s="38" t="s">
        <v>52</v>
      </c>
      <c r="D3" s="38" t="s">
        <v>53</v>
      </c>
      <c r="E3" s="39" t="s">
        <v>54</v>
      </c>
      <c r="F3" s="40" t="s">
        <v>55</v>
      </c>
      <c r="G3" s="40"/>
      <c r="H3" s="40"/>
      <c r="I3" s="41">
        <v>1124</v>
      </c>
      <c r="J3" s="41">
        <v>1208</v>
      </c>
      <c r="K3" s="41">
        <v>1204</v>
      </c>
      <c r="L3" s="41">
        <v>1184</v>
      </c>
      <c r="M3" s="41">
        <v>1476</v>
      </c>
      <c r="N3" s="42"/>
      <c r="O3" s="42" t="s">
        <v>56</v>
      </c>
      <c r="P3" s="42"/>
      <c r="Q3" s="43">
        <v>3</v>
      </c>
      <c r="R3" s="42">
        <v>3</v>
      </c>
      <c r="S3" s="43">
        <v>2</v>
      </c>
      <c r="T3" s="42">
        <v>2</v>
      </c>
      <c r="U3" s="42">
        <v>20</v>
      </c>
      <c r="V3" s="44">
        <v>20</v>
      </c>
      <c r="W3" s="38">
        <v>16</v>
      </c>
      <c r="X3" s="38">
        <v>3</v>
      </c>
      <c r="Y3" s="38">
        <v>7</v>
      </c>
      <c r="Z3" s="38">
        <v>6</v>
      </c>
      <c r="AA3" s="38">
        <v>0</v>
      </c>
      <c r="AB3" s="45">
        <f>IFERROR(SUMIFS('top&amp;core医院客户DDD'!$R$4:$R$557,'top&amp;core医院客户DDD'!$A$4:$A$557,$A3,'top&amp;core医院客户DDD'!$F$4:$F$557,LEFT(AB$2,1))/SUMIFS('top&amp;core医院客户DDD'!$R$4:$R$557,'top&amp;core医院客户DDD'!$A$4:$A$557,$A3),"")</f>
        <v>0.113821138211382</v>
      </c>
      <c r="AC3" s="45">
        <f>IFERROR(SUMIFS('top&amp;core医院客户DDD'!$R$4:$R$557,'top&amp;core医院客户DDD'!$A$4:$A$557,$A3,'top&amp;core医院客户DDD'!$F$4:$F$557,LEFT(AC$2,1))/SUMIFS('top&amp;core医院客户DDD'!$R$4:$R$557,'top&amp;core医院客户DDD'!$A$4:$A$557,$A3),"")</f>
        <v>0.0569105691056911</v>
      </c>
      <c r="AD3" s="45">
        <f>IFERROR(SUMIFS('top&amp;core医院客户DDD'!$R$4:$R$557,'top&amp;core医院客户DDD'!$A$4:$A$557,$A3,'top&amp;core医院客户DDD'!$F$4:$F$557,LEFT(AD$2,1))/SUMIFS('top&amp;core医院客户DDD'!$R$4:$R$557,'top&amp;core医院客户DDD'!$A$4:$A$557,$A3),"")</f>
        <v>0.829268292682927</v>
      </c>
      <c r="AE3" s="45">
        <f>IFERROR(SUMIFS('top&amp;core医院客户DDD'!$R$4:$R$557,'top&amp;core医院客户DDD'!$A$4:$A$557,$A3,'top&amp;core医院客户DDD'!$F$4:$F$557,LEFT(AE$2,1))/SUMIFS('top&amp;core医院客户DDD'!$R$4:$R$557,'top&amp;core医院客户DDD'!$A$4:$A$557,$A3),"")</f>
        <v>0</v>
      </c>
      <c r="AF3" s="38">
        <v>10</v>
      </c>
      <c r="AG3" s="38">
        <v>3</v>
      </c>
      <c r="AH3" s="38">
        <v>0</v>
      </c>
      <c r="AI3" s="38">
        <v>1</v>
      </c>
      <c r="AJ3" s="38">
        <v>0</v>
      </c>
      <c r="AK3" s="38">
        <v>2</v>
      </c>
      <c r="AL3" s="44" t="s">
        <v>57</v>
      </c>
      <c r="AM3" s="44">
        <v>1500</v>
      </c>
      <c r="AN3" s="46">
        <v>700</v>
      </c>
      <c r="AO3" s="46">
        <v>200</v>
      </c>
      <c r="AP3" s="46">
        <v>500</v>
      </c>
      <c r="AQ3" s="46">
        <v>100</v>
      </c>
      <c r="AR3" s="47" t="s">
        <v>58</v>
      </c>
      <c r="AS3" s="48" t="s">
        <v>59</v>
      </c>
      <c r="AT3" s="48" t="s">
        <v>60</v>
      </c>
      <c r="AU3" s="48" t="s">
        <v>61</v>
      </c>
    </row>
    <row r="4" ht="39" customHeight="1" spans="1:47">
      <c r="A4" s="38" t="s">
        <v>62</v>
      </c>
      <c r="B4" s="38" t="s">
        <v>51</v>
      </c>
      <c r="C4" s="38" t="s">
        <v>63</v>
      </c>
      <c r="D4" s="38" t="s">
        <v>64</v>
      </c>
      <c r="E4" s="39" t="s">
        <v>65</v>
      </c>
      <c r="F4" s="40" t="s">
        <v>55</v>
      </c>
      <c r="G4" s="40" t="s">
        <v>55</v>
      </c>
      <c r="H4" s="40" t="s">
        <v>55</v>
      </c>
      <c r="I4" s="41">
        <v>1086</v>
      </c>
      <c r="J4" s="41">
        <v>1048</v>
      </c>
      <c r="K4" s="41">
        <v>908</v>
      </c>
      <c r="L4" s="41">
        <v>1164</v>
      </c>
      <c r="M4" s="41">
        <v>1260</v>
      </c>
      <c r="N4" s="42"/>
      <c r="O4" s="42" t="s">
        <v>56</v>
      </c>
      <c r="P4" s="42"/>
      <c r="Q4" s="43">
        <v>3</v>
      </c>
      <c r="R4" s="42">
        <v>2</v>
      </c>
      <c r="S4" s="43">
        <v>2</v>
      </c>
      <c r="T4" s="42">
        <v>5</v>
      </c>
      <c r="U4" s="42">
        <v>17</v>
      </c>
      <c r="V4" s="44">
        <v>20</v>
      </c>
      <c r="W4" s="38">
        <v>13</v>
      </c>
      <c r="X4" s="38">
        <v>2</v>
      </c>
      <c r="Y4" s="38">
        <v>10</v>
      </c>
      <c r="Z4" s="38">
        <v>1</v>
      </c>
      <c r="AA4" s="38">
        <v>0</v>
      </c>
      <c r="AB4" s="45">
        <f>IFERROR(SUMIFS('top&amp;core医院客户DDD'!$R$4:$R$557,'top&amp;core医院客户DDD'!$A$4:$A$557,$A4,'top&amp;core医院客户DDD'!$F$4:$F$557,LEFT(AB$2,1))/SUMIFS('top&amp;core医院客户DDD'!$R$4:$R$557,'top&amp;core医院客户DDD'!$A$4:$A$557,$A4),"")</f>
        <v>0.659235668789809</v>
      </c>
      <c r="AC4" s="45">
        <f>IFERROR(SUMIFS('top&amp;core医院客户DDD'!$R$4:$R$557,'top&amp;core医院客户DDD'!$A$4:$A$557,$A4,'top&amp;core医院客户DDD'!$F$4:$F$557,LEFT(AC$2,1))/SUMIFS('top&amp;core医院客户DDD'!$R$4:$R$557,'top&amp;core医院客户DDD'!$A$4:$A$557,$A4),"")</f>
        <v>0.054140127388535</v>
      </c>
      <c r="AD4" s="45">
        <f>IFERROR(SUMIFS('top&amp;core医院客户DDD'!$R$4:$R$557,'top&amp;core医院客户DDD'!$A$4:$A$557,$A4,'top&amp;core医院客户DDD'!$F$4:$F$557,LEFT(AD$2,1))/SUMIFS('top&amp;core医院客户DDD'!$R$4:$R$557,'top&amp;core医院客户DDD'!$A$4:$A$557,$A4),"")</f>
        <v>0.286624203821656</v>
      </c>
      <c r="AE4" s="45">
        <f>IFERROR(SUMIFS('top&amp;core医院客户DDD'!$R$4:$R$557,'top&amp;core医院客户DDD'!$A$4:$A$557,$A4,'top&amp;core医院客户DDD'!$F$4:$F$557,LEFT(AE$2,1))/SUMIFS('top&amp;core医院客户DDD'!$R$4:$R$557,'top&amp;core医院客户DDD'!$A$4:$A$557,$A4),"")</f>
        <v>0</v>
      </c>
      <c r="AF4" s="38">
        <v>11</v>
      </c>
      <c r="AG4" s="38">
        <v>0</v>
      </c>
      <c r="AH4" s="38">
        <v>0</v>
      </c>
      <c r="AI4" s="38">
        <v>0</v>
      </c>
      <c r="AJ4" s="38">
        <v>1</v>
      </c>
      <c r="AK4" s="38">
        <v>1</v>
      </c>
      <c r="AL4" s="44" t="s">
        <v>57</v>
      </c>
      <c r="AM4" s="44">
        <v>1900</v>
      </c>
      <c r="AN4" s="46">
        <v>1080</v>
      </c>
      <c r="AO4" s="46">
        <v>180</v>
      </c>
      <c r="AP4" s="46">
        <v>636</v>
      </c>
      <c r="AQ4" s="46">
        <v>4</v>
      </c>
      <c r="AR4" s="47" t="s">
        <v>66</v>
      </c>
      <c r="AS4" s="48" t="s">
        <v>67</v>
      </c>
      <c r="AT4" s="48" t="s">
        <v>68</v>
      </c>
      <c r="AU4" s="48" t="s">
        <v>69</v>
      </c>
    </row>
    <row r="5" ht="39" customHeight="1" spans="1:47">
      <c r="A5" s="49" t="s">
        <v>70</v>
      </c>
      <c r="B5" s="38" t="s">
        <v>51</v>
      </c>
      <c r="C5" s="38" t="s">
        <v>52</v>
      </c>
      <c r="D5" s="38" t="s">
        <v>71</v>
      </c>
      <c r="E5" s="39" t="s">
        <v>72</v>
      </c>
      <c r="F5" s="50" t="s">
        <v>73</v>
      </c>
      <c r="G5" s="50"/>
      <c r="H5" s="50" t="s">
        <v>74</v>
      </c>
      <c r="I5" s="41">
        <v>932</v>
      </c>
      <c r="J5" s="41">
        <v>952</v>
      </c>
      <c r="K5" s="41">
        <v>952</v>
      </c>
      <c r="L5" s="41">
        <v>964</v>
      </c>
      <c r="M5" s="41">
        <v>1204</v>
      </c>
      <c r="N5" s="42"/>
      <c r="O5" s="42" t="s">
        <v>56</v>
      </c>
      <c r="P5" s="42"/>
      <c r="Q5" s="43">
        <v>10</v>
      </c>
      <c r="R5" s="42">
        <v>3</v>
      </c>
      <c r="S5" s="43">
        <v>5</v>
      </c>
      <c r="T5" s="42">
        <v>6</v>
      </c>
      <c r="U5" s="42">
        <v>9</v>
      </c>
      <c r="V5" s="44">
        <v>20</v>
      </c>
      <c r="W5" s="38">
        <v>13</v>
      </c>
      <c r="X5" s="38">
        <v>4</v>
      </c>
      <c r="Y5" s="38">
        <v>7</v>
      </c>
      <c r="Z5" s="38">
        <v>0</v>
      </c>
      <c r="AA5" s="38">
        <v>2</v>
      </c>
      <c r="AB5" s="45">
        <f>IFERROR(SUMIFS('top&amp;core医院客户DDD'!$R$4:$R$557,'top&amp;core医院客户DDD'!$A$4:$A$557,$A5,'top&amp;core医院客户DDD'!$F$4:$F$557,LEFT(AB$2,1))/SUMIFS('top&amp;core医院客户DDD'!$R$4:$R$557,'top&amp;core医院客户DDD'!$A$4:$A$557,$A5),"")</f>
        <v>0.777408637873754</v>
      </c>
      <c r="AC5" s="45">
        <f>IFERROR(SUMIFS('top&amp;core医院客户DDD'!$R$4:$R$557,'top&amp;core医院客户DDD'!$A$4:$A$557,$A5,'top&amp;core医院客户DDD'!$F$4:$F$557,LEFT(AC$2,1))/SUMIFS('top&amp;core医院客户DDD'!$R$4:$R$557,'top&amp;core医院客户DDD'!$A$4:$A$557,$A5),"")</f>
        <v>0.109634551495017</v>
      </c>
      <c r="AD5" s="45">
        <f>IFERROR(SUMIFS('top&amp;core医院客户DDD'!$R$4:$R$557,'top&amp;core医院客户DDD'!$A$4:$A$557,$A5,'top&amp;core医院客户DDD'!$F$4:$F$557,LEFT(AD$2,1))/SUMIFS('top&amp;core医院客户DDD'!$R$4:$R$557,'top&amp;core医院客户DDD'!$A$4:$A$557,$A5),"")</f>
        <v>0.00996677740863787</v>
      </c>
      <c r="AE5" s="45">
        <f>IFERROR(SUMIFS('top&amp;core医院客户DDD'!$R$4:$R$557,'top&amp;core医院客户DDD'!$A$4:$A$557,$A5,'top&amp;core医院客户DDD'!$F$4:$F$557,LEFT(AE$2,1))/SUMIFS('top&amp;core医院客户DDD'!$R$4:$R$557,'top&amp;core医院客户DDD'!$A$4:$A$557,$A5),"")</f>
        <v>0.102990033222591</v>
      </c>
      <c r="AF5" s="38">
        <v>7</v>
      </c>
      <c r="AG5" s="38">
        <v>2</v>
      </c>
      <c r="AH5" s="38">
        <v>2</v>
      </c>
      <c r="AI5" s="38">
        <v>1</v>
      </c>
      <c r="AJ5" s="38">
        <v>0</v>
      </c>
      <c r="AK5" s="38">
        <v>1</v>
      </c>
      <c r="AL5" s="44" t="s">
        <v>75</v>
      </c>
      <c r="AM5" s="44">
        <v>1820</v>
      </c>
      <c r="AN5" s="46">
        <v>1130</v>
      </c>
      <c r="AO5" s="46">
        <v>330</v>
      </c>
      <c r="AP5" s="46">
        <v>100</v>
      </c>
      <c r="AQ5" s="46">
        <v>260</v>
      </c>
      <c r="AR5" s="47" t="s">
        <v>76</v>
      </c>
      <c r="AS5" s="48" t="s">
        <v>77</v>
      </c>
      <c r="AT5" s="48" t="s">
        <v>78</v>
      </c>
      <c r="AU5" s="48" t="s">
        <v>79</v>
      </c>
    </row>
    <row r="6" ht="39" customHeight="1" spans="1:47">
      <c r="A6" s="51" t="s">
        <v>80</v>
      </c>
      <c r="B6" s="38" t="s">
        <v>51</v>
      </c>
      <c r="C6" s="38" t="s">
        <v>81</v>
      </c>
      <c r="D6" s="38" t="s">
        <v>82</v>
      </c>
      <c r="E6" s="39" t="s">
        <v>72</v>
      </c>
      <c r="F6" s="50" t="s">
        <v>73</v>
      </c>
      <c r="G6" s="50"/>
      <c r="H6" s="50" t="s">
        <v>83</v>
      </c>
      <c r="I6" s="41">
        <v>931</v>
      </c>
      <c r="J6" s="41">
        <v>1024</v>
      </c>
      <c r="K6" s="41">
        <v>906</v>
      </c>
      <c r="L6" s="41">
        <v>933</v>
      </c>
      <c r="M6" s="41">
        <v>1144</v>
      </c>
      <c r="N6" s="42"/>
      <c r="O6" s="42" t="s">
        <v>56</v>
      </c>
      <c r="P6" s="42"/>
      <c r="Q6" s="43">
        <v>1.5</v>
      </c>
      <c r="R6" s="42">
        <v>2</v>
      </c>
      <c r="S6" s="43">
        <v>3</v>
      </c>
      <c r="T6" s="42">
        <v>9</v>
      </c>
      <c r="U6" s="42">
        <v>32</v>
      </c>
      <c r="V6" s="44">
        <v>30</v>
      </c>
      <c r="W6" s="38">
        <v>22</v>
      </c>
      <c r="X6" s="38">
        <v>3</v>
      </c>
      <c r="Y6" s="38">
        <v>10</v>
      </c>
      <c r="Z6" s="38">
        <v>5</v>
      </c>
      <c r="AA6" s="38">
        <v>4</v>
      </c>
      <c r="AB6" s="45">
        <f>IFERROR(SUMIFS('top&amp;core医院客户DDD'!$R$4:$R$557,'top&amp;core医院客户DDD'!$A$4:$A$557,$A6,'top&amp;core医院客户DDD'!$F$4:$F$557,LEFT(AB$2,1))/SUMIFS('top&amp;core医院客户DDD'!$R$4:$R$557,'top&amp;core医院客户DDD'!$A$4:$A$557,$A6),"")</f>
        <v>0.0636042402826855</v>
      </c>
      <c r="AC6" s="45">
        <f>IFERROR(SUMIFS('top&amp;core医院客户DDD'!$R$4:$R$557,'top&amp;core医院客户DDD'!$A$4:$A$557,$A6,'top&amp;core医院客户DDD'!$F$4:$F$557,LEFT(AC$2,1))/SUMIFS('top&amp;core医院客户DDD'!$R$4:$R$557,'top&amp;core医院客户DDD'!$A$4:$A$557,$A6),"")</f>
        <v>0.734982332155477</v>
      </c>
      <c r="AD6" s="45">
        <f>IFERROR(SUMIFS('top&amp;core医院客户DDD'!$R$4:$R$557,'top&amp;core医院客户DDD'!$A$4:$A$557,$A6,'top&amp;core医院客户DDD'!$F$4:$F$557,LEFT(AD$2,1))/SUMIFS('top&amp;core医院客户DDD'!$R$4:$R$557,'top&amp;core医院客户DDD'!$A$4:$A$557,$A6),"")</f>
        <v>0.148409893992933</v>
      </c>
      <c r="AE6" s="45">
        <f>IFERROR(SUMIFS('top&amp;core医院客户DDD'!$R$4:$R$557,'top&amp;core医院客户DDD'!$A$4:$A$557,$A6,'top&amp;core医院客户DDD'!$F$4:$F$557,LEFT(AE$2,1))/SUMIFS('top&amp;core医院客户DDD'!$R$4:$R$557,'top&amp;core医院客户DDD'!$A$4:$A$557,$A6),"")</f>
        <v>0.0530035335689046</v>
      </c>
      <c r="AF6" s="38">
        <v>10</v>
      </c>
      <c r="AG6" s="38">
        <v>6</v>
      </c>
      <c r="AH6" s="38">
        <v>4</v>
      </c>
      <c r="AI6" s="38">
        <v>2</v>
      </c>
      <c r="AJ6" s="38">
        <v>0</v>
      </c>
      <c r="AK6" s="38">
        <v>0</v>
      </c>
      <c r="AL6" s="44" t="s">
        <v>57</v>
      </c>
      <c r="AM6" s="44">
        <v>1586</v>
      </c>
      <c r="AN6" s="46">
        <v>150</v>
      </c>
      <c r="AO6" s="46">
        <v>996</v>
      </c>
      <c r="AP6" s="46">
        <v>332</v>
      </c>
      <c r="AQ6" s="46">
        <v>108</v>
      </c>
      <c r="AR6" s="47" t="s">
        <v>84</v>
      </c>
      <c r="AS6" s="48" t="s">
        <v>85</v>
      </c>
      <c r="AT6" s="48" t="s">
        <v>86</v>
      </c>
      <c r="AU6" s="48" t="s">
        <v>87</v>
      </c>
    </row>
    <row r="7" ht="39" customHeight="1" spans="1:47">
      <c r="A7" s="38" t="s">
        <v>88</v>
      </c>
      <c r="B7" s="38" t="s">
        <v>51</v>
      </c>
      <c r="C7" s="38" t="s">
        <v>63</v>
      </c>
      <c r="D7" s="38" t="s">
        <v>89</v>
      </c>
      <c r="E7" s="39" t="s">
        <v>72</v>
      </c>
      <c r="F7" s="50" t="s">
        <v>90</v>
      </c>
      <c r="G7" s="50" t="s">
        <v>91</v>
      </c>
      <c r="H7" s="52" t="s">
        <v>92</v>
      </c>
      <c r="I7" s="41">
        <v>432</v>
      </c>
      <c r="J7" s="41">
        <v>536</v>
      </c>
      <c r="K7" s="41">
        <v>444</v>
      </c>
      <c r="L7" s="41">
        <v>500</v>
      </c>
      <c r="M7" s="41">
        <v>564</v>
      </c>
      <c r="N7" s="42"/>
      <c r="O7" s="42" t="s">
        <v>93</v>
      </c>
      <c r="P7" s="42"/>
      <c r="Q7" s="43">
        <v>5</v>
      </c>
      <c r="R7" s="42">
        <v>4</v>
      </c>
      <c r="S7" s="43">
        <v>1</v>
      </c>
      <c r="T7" s="42">
        <v>7</v>
      </c>
      <c r="U7" s="42">
        <v>13</v>
      </c>
      <c r="V7" s="44">
        <v>25</v>
      </c>
      <c r="W7" s="38">
        <v>8</v>
      </c>
      <c r="X7" s="38">
        <v>4</v>
      </c>
      <c r="Y7" s="38">
        <v>3</v>
      </c>
      <c r="Z7" s="38">
        <v>1</v>
      </c>
      <c r="AA7" s="38">
        <v>0</v>
      </c>
      <c r="AB7" s="45">
        <f>IFERROR(SUMIFS('top&amp;core医院客户DDD'!$R$4:$R$557,'top&amp;core医院客户DDD'!$A$4:$A$557,$A7,'top&amp;core医院客户DDD'!$F$4:$F$557,LEFT(AB$2,1))/SUMIFS('top&amp;core医院客户DDD'!$R$4:$R$557,'top&amp;core医院客户DDD'!$A$4:$A$557,$A7),"")</f>
        <v>0.815602836879433</v>
      </c>
      <c r="AC7" s="45">
        <f>IFERROR(SUMIFS('top&amp;core医院客户DDD'!$R$4:$R$557,'top&amp;core医院客户DDD'!$A$4:$A$557,$A7,'top&amp;core医院客户DDD'!$F$4:$F$557,LEFT(AC$2,1))/SUMIFS('top&amp;core医院客户DDD'!$R$4:$R$557,'top&amp;core医院客户DDD'!$A$4:$A$557,$A7),"")</f>
        <v>0.0567375886524823</v>
      </c>
      <c r="AD7" s="45">
        <f>IFERROR(SUMIFS('top&amp;core医院客户DDD'!$R$4:$R$557,'top&amp;core医院客户DDD'!$A$4:$A$557,$A7,'top&amp;core医院客户DDD'!$F$4:$F$557,LEFT(AD$2,1))/SUMIFS('top&amp;core医院客户DDD'!$R$4:$R$557,'top&amp;core医院客户DDD'!$A$4:$A$557,$A7),"")</f>
        <v>0.127659574468085</v>
      </c>
      <c r="AE7" s="45">
        <f>IFERROR(SUMIFS('top&amp;core医院客户DDD'!$R$4:$R$557,'top&amp;core医院客户DDD'!$A$4:$A$557,$A7,'top&amp;core医院客户DDD'!$F$4:$F$557,LEFT(AE$2,1))/SUMIFS('top&amp;core医院客户DDD'!$R$4:$R$557,'top&amp;core医院客户DDD'!$A$4:$A$557,$A7),"")</f>
        <v>0</v>
      </c>
      <c r="AF7" s="38">
        <v>4</v>
      </c>
      <c r="AG7" s="38">
        <v>1</v>
      </c>
      <c r="AH7" s="38">
        <v>2</v>
      </c>
      <c r="AI7" s="38">
        <v>0</v>
      </c>
      <c r="AJ7" s="38">
        <v>1</v>
      </c>
      <c r="AK7" s="38">
        <v>0</v>
      </c>
      <c r="AL7" s="44" t="s">
        <v>56</v>
      </c>
      <c r="AM7" s="44">
        <v>1000</v>
      </c>
      <c r="AN7" s="46">
        <v>700</v>
      </c>
      <c r="AO7" s="46">
        <v>100</v>
      </c>
      <c r="AP7" s="46">
        <v>150</v>
      </c>
      <c r="AQ7" s="46">
        <v>50</v>
      </c>
      <c r="AR7" s="47" t="s">
        <v>94</v>
      </c>
      <c r="AS7" s="48" t="s">
        <v>95</v>
      </c>
      <c r="AT7" s="48" t="s">
        <v>96</v>
      </c>
      <c r="AU7" s="48" t="s">
        <v>97</v>
      </c>
    </row>
    <row r="8" ht="39" customHeight="1" spans="1:47">
      <c r="A8" s="38" t="s">
        <v>98</v>
      </c>
      <c r="B8" s="38" t="s">
        <v>99</v>
      </c>
      <c r="C8" s="38" t="s">
        <v>100</v>
      </c>
      <c r="D8" s="38" t="s">
        <v>101</v>
      </c>
      <c r="E8" s="39" t="s">
        <v>65</v>
      </c>
      <c r="F8" s="40" t="s">
        <v>55</v>
      </c>
      <c r="G8" s="40"/>
      <c r="H8" s="40"/>
      <c r="I8" s="41">
        <v>472</v>
      </c>
      <c r="J8" s="41">
        <v>492</v>
      </c>
      <c r="K8" s="41">
        <v>456</v>
      </c>
      <c r="L8" s="41">
        <v>460</v>
      </c>
      <c r="M8" s="41">
        <v>484</v>
      </c>
      <c r="N8" s="42"/>
      <c r="O8" s="42" t="s">
        <v>102</v>
      </c>
      <c r="P8" s="42"/>
      <c r="Q8" s="43">
        <v>3</v>
      </c>
      <c r="R8" s="42">
        <v>6</v>
      </c>
      <c r="S8" s="43">
        <v>0.5</v>
      </c>
      <c r="T8" s="42">
        <v>6</v>
      </c>
      <c r="U8" s="42">
        <v>20</v>
      </c>
      <c r="V8" s="44">
        <v>15</v>
      </c>
      <c r="W8" s="38">
        <v>8</v>
      </c>
      <c r="X8" s="38">
        <v>3</v>
      </c>
      <c r="Y8" s="38">
        <v>1</v>
      </c>
      <c r="Z8" s="38">
        <v>4</v>
      </c>
      <c r="AA8" s="38">
        <v>0</v>
      </c>
      <c r="AB8" s="45">
        <f>IFERROR(SUMIFS('top&amp;core医院客户DDD'!$R$4:$R$557,'top&amp;core医院客户DDD'!$A$4:$A$557,$A8,'top&amp;core医院客户DDD'!$F$4:$F$557,LEFT(AB$2,1))/SUMIFS('top&amp;core医院客户DDD'!$R$4:$R$557,'top&amp;core医院客户DDD'!$A$4:$A$557,$A8),"")</f>
        <v>0.628099173553719</v>
      </c>
      <c r="AC8" s="45">
        <f>IFERROR(SUMIFS('top&amp;core医院客户DDD'!$R$4:$R$557,'top&amp;core医院客户DDD'!$A$4:$A$557,$A8,'top&amp;core医院客户DDD'!$F$4:$F$557,LEFT(AC$2,1))/SUMIFS('top&amp;core医院客户DDD'!$R$4:$R$557,'top&amp;core医院客户DDD'!$A$4:$A$557,$A8),"")</f>
        <v>0</v>
      </c>
      <c r="AD8" s="45">
        <f>IFERROR(SUMIFS('top&amp;core医院客户DDD'!$R$4:$R$557,'top&amp;core医院客户DDD'!$A$4:$A$557,$A8,'top&amp;core医院客户DDD'!$F$4:$F$557,LEFT(AD$2,1))/SUMIFS('top&amp;core医院客户DDD'!$R$4:$R$557,'top&amp;core医院客户DDD'!$A$4:$A$557,$A8),"")</f>
        <v>0.371900826446281</v>
      </c>
      <c r="AE8" s="45">
        <f>IFERROR(SUMIFS('top&amp;core医院客户DDD'!$R$4:$R$557,'top&amp;core医院客户DDD'!$A$4:$A$557,$A8,'top&amp;core医院客户DDD'!$F$4:$F$557,LEFT(AE$2,1))/SUMIFS('top&amp;core医院客户DDD'!$R$4:$R$557,'top&amp;core医院客户DDD'!$A$4:$A$557,$A8),"")</f>
        <v>0</v>
      </c>
      <c r="AF8" s="38">
        <v>4</v>
      </c>
      <c r="AG8" s="38">
        <v>0</v>
      </c>
      <c r="AH8" s="38">
        <v>3</v>
      </c>
      <c r="AI8" s="38">
        <v>1</v>
      </c>
      <c r="AJ8" s="38">
        <v>0</v>
      </c>
      <c r="AK8" s="38">
        <v>0</v>
      </c>
      <c r="AL8" s="44" t="s">
        <v>93</v>
      </c>
      <c r="AM8" s="44">
        <v>500</v>
      </c>
      <c r="AN8" s="46">
        <v>200</v>
      </c>
      <c r="AO8" s="46">
        <v>115</v>
      </c>
      <c r="AP8" s="46">
        <v>185</v>
      </c>
      <c r="AQ8" s="46">
        <v>0</v>
      </c>
      <c r="AR8" s="47" t="s">
        <v>103</v>
      </c>
      <c r="AS8" s="48" t="s">
        <v>104</v>
      </c>
      <c r="AT8" s="48" t="s">
        <v>105</v>
      </c>
      <c r="AU8" s="48" t="s">
        <v>106</v>
      </c>
    </row>
    <row r="9" ht="39" customHeight="1" spans="1:47">
      <c r="A9" s="51" t="s">
        <v>107</v>
      </c>
      <c r="B9" s="38" t="s">
        <v>99</v>
      </c>
      <c r="C9" s="38" t="s">
        <v>108</v>
      </c>
      <c r="D9" s="38" t="s">
        <v>109</v>
      </c>
      <c r="E9" s="39" t="s">
        <v>110</v>
      </c>
      <c r="F9" s="40" t="s">
        <v>55</v>
      </c>
      <c r="G9" s="40" t="s">
        <v>55</v>
      </c>
      <c r="H9" s="40" t="s">
        <v>55</v>
      </c>
      <c r="I9" s="41">
        <v>392</v>
      </c>
      <c r="J9" s="41">
        <v>236</v>
      </c>
      <c r="K9" s="41">
        <v>192</v>
      </c>
      <c r="L9" s="41">
        <v>260</v>
      </c>
      <c r="M9" s="41">
        <v>460</v>
      </c>
      <c r="N9" s="42"/>
      <c r="O9" s="42" t="s">
        <v>102</v>
      </c>
      <c r="P9" s="42"/>
      <c r="Q9" s="43">
        <v>4.25</v>
      </c>
      <c r="R9" s="42">
        <v>5</v>
      </c>
      <c r="S9" s="43">
        <v>7</v>
      </c>
      <c r="T9" s="42">
        <v>3</v>
      </c>
      <c r="U9" s="42">
        <v>24</v>
      </c>
      <c r="V9" s="44">
        <v>20</v>
      </c>
      <c r="W9" s="38">
        <v>13</v>
      </c>
      <c r="X9" s="38">
        <v>4</v>
      </c>
      <c r="Y9" s="38">
        <v>6</v>
      </c>
      <c r="Z9" s="38">
        <v>2</v>
      </c>
      <c r="AA9" s="38">
        <v>1</v>
      </c>
      <c r="AB9" s="45">
        <f>IFERROR(SUMIFS('top&amp;core医院客户DDD'!$R$4:$R$557,'top&amp;core医院客户DDD'!$A$4:$A$557,$A9,'top&amp;core医院客户DDD'!$F$4:$F$557,LEFT(AB$2,1))/SUMIFS('top&amp;core医院客户DDD'!$R$4:$R$557,'top&amp;core医院客户DDD'!$A$4:$A$557,$A9),"")</f>
        <v>0.721739130434783</v>
      </c>
      <c r="AC9" s="45">
        <f>IFERROR(SUMIFS('top&amp;core医院客户DDD'!$R$4:$R$557,'top&amp;core医院客户DDD'!$A$4:$A$557,$A9,'top&amp;core医院客户DDD'!$F$4:$F$557,LEFT(AC$2,1))/SUMIFS('top&amp;core医院客户DDD'!$R$4:$R$557,'top&amp;core医院客户DDD'!$A$4:$A$557,$A9),"")</f>
        <v>0.0347826086956522</v>
      </c>
      <c r="AD9" s="45">
        <f>IFERROR(SUMIFS('top&amp;core医院客户DDD'!$R$4:$R$557,'top&amp;core医院客户DDD'!$A$4:$A$557,$A9,'top&amp;core医院客户DDD'!$F$4:$F$557,LEFT(AD$2,1))/SUMIFS('top&amp;core医院客户DDD'!$R$4:$R$557,'top&amp;core医院客户DDD'!$A$4:$A$557,$A9),"")</f>
        <v>0</v>
      </c>
      <c r="AE9" s="45">
        <f>IFERROR(SUMIFS('top&amp;core医院客户DDD'!$R$4:$R$557,'top&amp;core医院客户DDD'!$A$4:$A$557,$A9,'top&amp;core医院客户DDD'!$F$4:$F$557,LEFT(AE$2,1))/SUMIFS('top&amp;core医院客户DDD'!$R$4:$R$557,'top&amp;core医院客户DDD'!$A$4:$A$557,$A9),"")</f>
        <v>0.243478260869565</v>
      </c>
      <c r="AF9" s="38">
        <v>8</v>
      </c>
      <c r="AG9" s="38">
        <v>3</v>
      </c>
      <c r="AH9" s="38">
        <v>1</v>
      </c>
      <c r="AI9" s="38">
        <v>1</v>
      </c>
      <c r="AJ9" s="38">
        <v>0</v>
      </c>
      <c r="AK9" s="38">
        <v>0</v>
      </c>
      <c r="AL9" s="44" t="s">
        <v>93</v>
      </c>
      <c r="AM9" s="44">
        <v>500</v>
      </c>
      <c r="AN9" s="46">
        <v>400</v>
      </c>
      <c r="AO9" s="46">
        <v>25</v>
      </c>
      <c r="AP9" s="46">
        <v>50</v>
      </c>
      <c r="AQ9" s="46">
        <v>25</v>
      </c>
      <c r="AR9" s="47" t="s">
        <v>111</v>
      </c>
      <c r="AS9" s="48" t="s">
        <v>112</v>
      </c>
      <c r="AT9" s="48" t="s">
        <v>113</v>
      </c>
      <c r="AU9" s="48" t="s">
        <v>114</v>
      </c>
    </row>
    <row r="10" ht="39" customHeight="1" spans="1:47">
      <c r="A10" s="38" t="s">
        <v>115</v>
      </c>
      <c r="B10" s="38" t="s">
        <v>99</v>
      </c>
      <c r="C10" s="38" t="s">
        <v>63</v>
      </c>
      <c r="D10" s="38" t="s">
        <v>116</v>
      </c>
      <c r="E10" s="39" t="s">
        <v>65</v>
      </c>
      <c r="F10" s="40" t="s">
        <v>55</v>
      </c>
      <c r="G10" s="40" t="s">
        <v>55</v>
      </c>
      <c r="H10" s="40" t="s">
        <v>55</v>
      </c>
      <c r="I10" s="41">
        <v>316</v>
      </c>
      <c r="J10" s="41">
        <v>312</v>
      </c>
      <c r="K10" s="41">
        <v>356</v>
      </c>
      <c r="L10" s="41">
        <v>404</v>
      </c>
      <c r="M10" s="41">
        <v>420</v>
      </c>
      <c r="N10" s="42"/>
      <c r="O10" s="42" t="s">
        <v>102</v>
      </c>
      <c r="P10" s="42"/>
      <c r="Q10" s="53">
        <v>4</v>
      </c>
      <c r="R10" s="18">
        <v>3</v>
      </c>
      <c r="S10" s="53">
        <v>0</v>
      </c>
      <c r="T10" s="18">
        <v>5</v>
      </c>
      <c r="U10" s="18">
        <v>15</v>
      </c>
      <c r="V10" s="44">
        <v>20</v>
      </c>
      <c r="W10" s="38">
        <v>6</v>
      </c>
      <c r="X10" s="38">
        <v>2</v>
      </c>
      <c r="Y10" s="38">
        <v>2</v>
      </c>
      <c r="Z10" s="38">
        <v>2</v>
      </c>
      <c r="AA10" s="38">
        <v>0</v>
      </c>
      <c r="AB10" s="45">
        <f>IFERROR(SUMIFS('top&amp;core医院客户DDD'!$R$4:$R$557,'top&amp;core医院客户DDD'!$A$4:$A$557,$A10,'top&amp;core医院客户DDD'!$F$4:$F$557,LEFT(AB$2,1))/SUMIFS('top&amp;core医院客户DDD'!$R$4:$R$557,'top&amp;core医院客户DDD'!$A$4:$A$557,$A10),"")</f>
        <v>0.314285714285714</v>
      </c>
      <c r="AC10" s="45">
        <f>IFERROR(SUMIFS('top&amp;core医院客户DDD'!$R$4:$R$557,'top&amp;core医院客户DDD'!$A$4:$A$557,$A10,'top&amp;core医院客户DDD'!$F$4:$F$557,LEFT(AC$2,1))/SUMIFS('top&amp;core医院客户DDD'!$R$4:$R$557,'top&amp;core医院客户DDD'!$A$4:$A$557,$A10),"")</f>
        <v>0.0857142857142857</v>
      </c>
      <c r="AD10" s="45">
        <f>IFERROR(SUMIFS('top&amp;core医院客户DDD'!$R$4:$R$557,'top&amp;core医院客户DDD'!$A$4:$A$557,$A10,'top&amp;core医院客户DDD'!$F$4:$F$557,LEFT(AD$2,1))/SUMIFS('top&amp;core医院客户DDD'!$R$4:$R$557,'top&amp;core医院客户DDD'!$A$4:$A$557,$A10),"")</f>
        <v>0.6</v>
      </c>
      <c r="AE10" s="45">
        <f>IFERROR(SUMIFS('top&amp;core医院客户DDD'!$R$4:$R$557,'top&amp;core医院客户DDD'!$A$4:$A$557,$A10,'top&amp;core医院客户DDD'!$F$4:$F$557,LEFT(AE$2,1))/SUMIFS('top&amp;core医院客户DDD'!$R$4:$R$557,'top&amp;core医院客户DDD'!$A$4:$A$557,$A10),"")</f>
        <v>0</v>
      </c>
      <c r="AF10" s="38">
        <v>1</v>
      </c>
      <c r="AG10" s="38">
        <v>3</v>
      </c>
      <c r="AH10" s="38">
        <v>1</v>
      </c>
      <c r="AI10" s="38">
        <v>1</v>
      </c>
      <c r="AJ10" s="38">
        <v>0</v>
      </c>
      <c r="AK10" s="38">
        <v>0</v>
      </c>
      <c r="AL10" s="44" t="s">
        <v>56</v>
      </c>
      <c r="AM10" s="44">
        <v>1000</v>
      </c>
      <c r="AN10" s="46">
        <v>230</v>
      </c>
      <c r="AO10" s="46">
        <v>182</v>
      </c>
      <c r="AP10" s="46">
        <v>528</v>
      </c>
      <c r="AQ10" s="46">
        <v>60</v>
      </c>
      <c r="AR10" s="47" t="s">
        <v>117</v>
      </c>
      <c r="AS10" s="54" t="s">
        <v>118</v>
      </c>
      <c r="AT10" s="54" t="s">
        <v>119</v>
      </c>
      <c r="AU10" s="54" t="s">
        <v>120</v>
      </c>
    </row>
    <row r="11" ht="39" customHeight="1" spans="1:47">
      <c r="A11" s="38" t="s">
        <v>121</v>
      </c>
      <c r="B11" s="38" t="s">
        <v>99</v>
      </c>
      <c r="C11" s="38" t="s">
        <v>63</v>
      </c>
      <c r="D11" s="38" t="s">
        <v>116</v>
      </c>
      <c r="E11" s="39" t="s">
        <v>65</v>
      </c>
      <c r="F11" s="40" t="s">
        <v>55</v>
      </c>
      <c r="G11" s="40" t="s">
        <v>55</v>
      </c>
      <c r="H11" s="40" t="s">
        <v>55</v>
      </c>
      <c r="I11" s="41">
        <v>280</v>
      </c>
      <c r="J11" s="41">
        <v>396</v>
      </c>
      <c r="K11" s="41">
        <v>336</v>
      </c>
      <c r="L11" s="41">
        <v>332</v>
      </c>
      <c r="M11" s="41">
        <v>392</v>
      </c>
      <c r="N11" s="42"/>
      <c r="O11" s="42" t="s">
        <v>102</v>
      </c>
      <c r="P11" s="42"/>
      <c r="Q11" s="43">
        <v>2</v>
      </c>
      <c r="R11" s="42">
        <v>2</v>
      </c>
      <c r="S11" s="43">
        <v>1</v>
      </c>
      <c r="T11" s="42">
        <v>3</v>
      </c>
      <c r="U11" s="42">
        <v>9</v>
      </c>
      <c r="V11" s="44">
        <v>20</v>
      </c>
      <c r="W11" s="38">
        <v>5</v>
      </c>
      <c r="X11" s="38">
        <v>1</v>
      </c>
      <c r="Y11" s="38">
        <v>2</v>
      </c>
      <c r="Z11" s="38">
        <v>2</v>
      </c>
      <c r="AA11" s="38">
        <v>0</v>
      </c>
      <c r="AB11" s="45">
        <f>IFERROR(SUMIFS('top&amp;core医院客户DDD'!$R$4:$R$557,'top&amp;core医院客户DDD'!$A$4:$A$557,$A11,'top&amp;core医院客户DDD'!$F$4:$F$557,LEFT(AB$2,1))/SUMIFS('top&amp;core医院客户DDD'!$R$4:$R$557,'top&amp;core医院客户DDD'!$A$4:$A$557,$A11),"")</f>
        <v>0.0204081632653061</v>
      </c>
      <c r="AC11" s="45">
        <f>IFERROR(SUMIFS('top&amp;core医院客户DDD'!$R$4:$R$557,'top&amp;core医院客户DDD'!$A$4:$A$557,$A11,'top&amp;core医院客户DDD'!$F$4:$F$557,LEFT(AC$2,1))/SUMIFS('top&amp;core医院客户DDD'!$R$4:$R$557,'top&amp;core医院客户DDD'!$A$4:$A$557,$A11),"")</f>
        <v>0.0306122448979592</v>
      </c>
      <c r="AD11" s="45">
        <f>IFERROR(SUMIFS('top&amp;core医院客户DDD'!$R$4:$R$557,'top&amp;core医院客户DDD'!$A$4:$A$557,$A11,'top&amp;core医院客户DDD'!$F$4:$F$557,LEFT(AD$2,1))/SUMIFS('top&amp;core医院客户DDD'!$R$4:$R$557,'top&amp;core医院客户DDD'!$A$4:$A$557,$A11),"")</f>
        <v>0.948979591836735</v>
      </c>
      <c r="AE11" s="45">
        <f>IFERROR(SUMIFS('top&amp;core医院客户DDD'!$R$4:$R$557,'top&amp;core医院客户DDD'!$A$4:$A$557,$A11,'top&amp;core医院客户DDD'!$F$4:$F$557,LEFT(AE$2,1))/SUMIFS('top&amp;core医院客户DDD'!$R$4:$R$557,'top&amp;core医院客户DDD'!$A$4:$A$557,$A11),"")</f>
        <v>0</v>
      </c>
      <c r="AF11" s="38">
        <v>4</v>
      </c>
      <c r="AG11" s="38">
        <v>0</v>
      </c>
      <c r="AH11" s="38">
        <v>0</v>
      </c>
      <c r="AI11" s="38">
        <v>0</v>
      </c>
      <c r="AJ11" s="38">
        <v>1</v>
      </c>
      <c r="AK11" s="38">
        <v>0</v>
      </c>
      <c r="AL11" s="44" t="s">
        <v>56</v>
      </c>
      <c r="AM11" s="44">
        <v>700</v>
      </c>
      <c r="AN11" s="46">
        <v>105</v>
      </c>
      <c r="AO11" s="46">
        <v>175</v>
      </c>
      <c r="AP11" s="46">
        <v>385</v>
      </c>
      <c r="AQ11" s="46">
        <v>35</v>
      </c>
      <c r="AR11" s="47" t="s">
        <v>122</v>
      </c>
      <c r="AS11" s="48" t="s">
        <v>123</v>
      </c>
      <c r="AT11" s="48" t="s">
        <v>124</v>
      </c>
      <c r="AU11" s="48" t="s">
        <v>125</v>
      </c>
    </row>
    <row r="12" ht="39" customHeight="1" spans="1:47">
      <c r="A12" s="38" t="s">
        <v>126</v>
      </c>
      <c r="B12" s="38" t="s">
        <v>99</v>
      </c>
      <c r="C12" s="38" t="s">
        <v>63</v>
      </c>
      <c r="D12" s="38" t="s">
        <v>127</v>
      </c>
      <c r="E12" s="39" t="s">
        <v>128</v>
      </c>
      <c r="F12" s="40" t="s">
        <v>55</v>
      </c>
      <c r="G12" s="40" t="s">
        <v>55</v>
      </c>
      <c r="H12" s="40" t="s">
        <v>55</v>
      </c>
      <c r="I12" s="41">
        <v>264</v>
      </c>
      <c r="J12" s="41">
        <v>344</v>
      </c>
      <c r="K12" s="41">
        <v>308</v>
      </c>
      <c r="L12" s="41">
        <v>308</v>
      </c>
      <c r="M12" s="41">
        <v>392</v>
      </c>
      <c r="N12" s="42"/>
      <c r="O12" s="42" t="s">
        <v>102</v>
      </c>
      <c r="P12" s="42"/>
      <c r="Q12" s="53">
        <v>6</v>
      </c>
      <c r="R12" s="18">
        <v>4</v>
      </c>
      <c r="S12" s="53">
        <v>0</v>
      </c>
      <c r="T12" s="18">
        <v>3</v>
      </c>
      <c r="U12" s="18">
        <v>23</v>
      </c>
      <c r="V12" s="44">
        <v>20</v>
      </c>
      <c r="W12" s="38">
        <v>10</v>
      </c>
      <c r="X12" s="38">
        <v>5</v>
      </c>
      <c r="Y12" s="38">
        <v>4</v>
      </c>
      <c r="Z12" s="38">
        <v>1</v>
      </c>
      <c r="AA12" s="38">
        <v>0</v>
      </c>
      <c r="AB12" s="45">
        <f>IFERROR(SUMIFS('top&amp;core医院客户DDD'!$R$4:$R$557,'top&amp;core医院客户DDD'!$A$4:$A$557,$A12,'top&amp;core医院客户DDD'!$F$4:$F$557,LEFT(AB$2,1))/SUMIFS('top&amp;core医院客户DDD'!$R$4:$R$557,'top&amp;core医院客户DDD'!$A$4:$A$557,$A12),"")</f>
        <v>0.428571428571429</v>
      </c>
      <c r="AC12" s="45">
        <f>IFERROR(SUMIFS('top&amp;core医院客户DDD'!$R$4:$R$557,'top&amp;core医院客户DDD'!$A$4:$A$557,$A12,'top&amp;core医院客户DDD'!$F$4:$F$557,LEFT(AC$2,1))/SUMIFS('top&amp;core医院客户DDD'!$R$4:$R$557,'top&amp;core医院客户DDD'!$A$4:$A$557,$A12),"")</f>
        <v>0.418367346938776</v>
      </c>
      <c r="AD12" s="45">
        <f>IFERROR(SUMIFS('top&amp;core医院客户DDD'!$R$4:$R$557,'top&amp;core医院客户DDD'!$A$4:$A$557,$A12,'top&amp;core医院客户DDD'!$F$4:$F$557,LEFT(AD$2,1))/SUMIFS('top&amp;core医院客户DDD'!$R$4:$R$557,'top&amp;core医院客户DDD'!$A$4:$A$557,$A12),"")</f>
        <v>0.122448979591837</v>
      </c>
      <c r="AE12" s="45">
        <f>IFERROR(SUMIFS('top&amp;core医院客户DDD'!$R$4:$R$557,'top&amp;core医院客户DDD'!$A$4:$A$557,$A12,'top&amp;core医院客户DDD'!$F$4:$F$557,LEFT(AE$2,1))/SUMIFS('top&amp;core医院客户DDD'!$R$4:$R$557,'top&amp;core医院客户DDD'!$A$4:$A$557,$A12),"")</f>
        <v>0.0306122448979592</v>
      </c>
      <c r="AF12" s="38">
        <v>6</v>
      </c>
      <c r="AG12" s="38">
        <v>2</v>
      </c>
      <c r="AH12" s="38">
        <v>1</v>
      </c>
      <c r="AI12" s="38">
        <v>1</v>
      </c>
      <c r="AJ12" s="38">
        <v>0</v>
      </c>
      <c r="AK12" s="38">
        <v>0</v>
      </c>
      <c r="AL12" s="44" t="s">
        <v>56</v>
      </c>
      <c r="AM12" s="44">
        <v>1000</v>
      </c>
      <c r="AN12" s="46">
        <v>350</v>
      </c>
      <c r="AO12" s="46">
        <v>300</v>
      </c>
      <c r="AP12" s="46">
        <v>100</v>
      </c>
      <c r="AQ12" s="46">
        <v>250</v>
      </c>
      <c r="AR12" s="47" t="s">
        <v>129</v>
      </c>
      <c r="AS12" s="54" t="s">
        <v>130</v>
      </c>
      <c r="AT12" s="54" t="s">
        <v>131</v>
      </c>
      <c r="AU12" s="54" t="s">
        <v>132</v>
      </c>
    </row>
    <row r="13" ht="39" customHeight="1" spans="1:47">
      <c r="A13" s="49" t="s">
        <v>133</v>
      </c>
      <c r="B13" s="38" t="s">
        <v>51</v>
      </c>
      <c r="C13" s="38" t="s">
        <v>134</v>
      </c>
      <c r="D13" s="38" t="s">
        <v>135</v>
      </c>
      <c r="E13" s="39" t="s">
        <v>72</v>
      </c>
      <c r="F13" s="40" t="s">
        <v>73</v>
      </c>
      <c r="G13" s="40" t="s">
        <v>136</v>
      </c>
      <c r="H13" s="40" t="s">
        <v>137</v>
      </c>
      <c r="I13" s="41">
        <v>328</v>
      </c>
      <c r="J13" s="41">
        <v>300</v>
      </c>
      <c r="K13" s="41">
        <v>280</v>
      </c>
      <c r="L13" s="41">
        <v>340</v>
      </c>
      <c r="M13" s="41">
        <v>364</v>
      </c>
      <c r="N13" s="42"/>
      <c r="O13" s="42" t="s">
        <v>102</v>
      </c>
      <c r="P13" s="42"/>
      <c r="Q13" s="43">
        <v>2.25</v>
      </c>
      <c r="R13" s="42">
        <v>4</v>
      </c>
      <c r="S13" s="43">
        <v>0</v>
      </c>
      <c r="T13" s="42">
        <v>5</v>
      </c>
      <c r="U13" s="42">
        <v>15</v>
      </c>
      <c r="V13" s="44">
        <v>20</v>
      </c>
      <c r="W13" s="38">
        <v>10</v>
      </c>
      <c r="X13" s="38">
        <v>3</v>
      </c>
      <c r="Y13" s="38">
        <v>6</v>
      </c>
      <c r="Z13" s="38">
        <v>1</v>
      </c>
      <c r="AA13" s="38">
        <v>0</v>
      </c>
      <c r="AB13" s="45">
        <f>IFERROR(SUMIFS('top&amp;core医院客户DDD'!$R$4:$R$557,'top&amp;core医院客户DDD'!$A$4:$A$557,$A13,'top&amp;core医院客户DDD'!$F$4:$F$557,LEFT(AB$2,1))/SUMIFS('top&amp;core医院客户DDD'!$R$4:$R$557,'top&amp;core医院客户DDD'!$A$4:$A$557,$A13),"")</f>
        <v>0.362637362637363</v>
      </c>
      <c r="AC13" s="45">
        <f>IFERROR(SUMIFS('top&amp;core医院客户DDD'!$R$4:$R$557,'top&amp;core医院客户DDD'!$A$4:$A$557,$A13,'top&amp;core医院客户DDD'!$F$4:$F$557,LEFT(AC$2,1))/SUMIFS('top&amp;core医院客户DDD'!$R$4:$R$557,'top&amp;core医院客户DDD'!$A$4:$A$557,$A13),"")</f>
        <v>0.296703296703297</v>
      </c>
      <c r="AD13" s="45">
        <f>IFERROR(SUMIFS('top&amp;core医院客户DDD'!$R$4:$R$557,'top&amp;core医院客户DDD'!$A$4:$A$557,$A13,'top&amp;core医院客户DDD'!$F$4:$F$557,LEFT(AD$2,1))/SUMIFS('top&amp;core医院客户DDD'!$R$4:$R$557,'top&amp;core医院客户DDD'!$A$4:$A$557,$A13),"")</f>
        <v>0.340659340659341</v>
      </c>
      <c r="AE13" s="45">
        <f>IFERROR(SUMIFS('top&amp;core医院客户DDD'!$R$4:$R$557,'top&amp;core医院客户DDD'!$A$4:$A$557,$A13,'top&amp;core医院客户DDD'!$F$4:$F$557,LEFT(AE$2,1))/SUMIFS('top&amp;core医院客户DDD'!$R$4:$R$557,'top&amp;core医院客户DDD'!$A$4:$A$557,$A13),"")</f>
        <v>0</v>
      </c>
      <c r="AF13" s="38">
        <v>7</v>
      </c>
      <c r="AG13" s="38">
        <v>0</v>
      </c>
      <c r="AH13" s="38">
        <v>3</v>
      </c>
      <c r="AI13" s="38">
        <v>0</v>
      </c>
      <c r="AJ13" s="38">
        <v>0</v>
      </c>
      <c r="AK13" s="38">
        <v>0</v>
      </c>
      <c r="AL13" s="44" t="s">
        <v>93</v>
      </c>
      <c r="AM13" s="44">
        <v>480</v>
      </c>
      <c r="AN13" s="46">
        <v>312</v>
      </c>
      <c r="AO13" s="46">
        <v>96</v>
      </c>
      <c r="AP13" s="46">
        <v>48</v>
      </c>
      <c r="AQ13" s="46">
        <v>24</v>
      </c>
      <c r="AR13" s="47" t="s">
        <v>138</v>
      </c>
      <c r="AS13" s="48" t="s">
        <v>139</v>
      </c>
      <c r="AT13" s="48" t="s">
        <v>140</v>
      </c>
      <c r="AU13" s="48" t="s">
        <v>141</v>
      </c>
    </row>
    <row r="14" ht="39" customHeight="1" spans="1:47">
      <c r="A14" s="38" t="s">
        <v>142</v>
      </c>
      <c r="B14" s="38" t="s">
        <v>99</v>
      </c>
      <c r="C14" s="38" t="s">
        <v>100</v>
      </c>
      <c r="D14" s="38" t="s">
        <v>143</v>
      </c>
      <c r="E14" s="39" t="s">
        <v>65</v>
      </c>
      <c r="F14" s="40" t="s">
        <v>55</v>
      </c>
      <c r="G14" s="40" t="s">
        <v>55</v>
      </c>
      <c r="H14" s="40" t="s">
        <v>55</v>
      </c>
      <c r="I14" s="41">
        <v>308</v>
      </c>
      <c r="J14" s="41">
        <v>308</v>
      </c>
      <c r="K14" s="41">
        <v>332</v>
      </c>
      <c r="L14" s="41">
        <v>336</v>
      </c>
      <c r="M14" s="41">
        <v>320</v>
      </c>
      <c r="N14" s="42"/>
      <c r="O14" s="42" t="s">
        <v>102</v>
      </c>
      <c r="P14" s="42"/>
      <c r="Q14" s="53">
        <v>1</v>
      </c>
      <c r="R14" s="18">
        <v>2</v>
      </c>
      <c r="S14" s="53">
        <v>1</v>
      </c>
      <c r="T14" s="18">
        <v>3</v>
      </c>
      <c r="U14" s="18">
        <v>9</v>
      </c>
      <c r="V14" s="44">
        <v>9</v>
      </c>
      <c r="W14" s="38">
        <v>6</v>
      </c>
      <c r="X14" s="38">
        <v>2</v>
      </c>
      <c r="Y14" s="38">
        <v>1</v>
      </c>
      <c r="Z14" s="38">
        <v>1</v>
      </c>
      <c r="AA14" s="38">
        <v>2</v>
      </c>
      <c r="AB14" s="45">
        <f>IFERROR(SUMIFS('top&amp;core医院客户DDD'!$R$4:$R$557,'top&amp;core医院客户DDD'!$A$4:$A$557,$A14,'top&amp;core医院客户DDD'!$F$4:$F$557,LEFT(AB$2,1))/SUMIFS('top&amp;core医院客户DDD'!$R$4:$R$557,'top&amp;core医院客户DDD'!$A$4:$A$557,$A14),"")</f>
        <v>0.632911392405063</v>
      </c>
      <c r="AC14" s="45">
        <f>IFERROR(SUMIFS('top&amp;core医院客户DDD'!$R$4:$R$557,'top&amp;core医院客户DDD'!$A$4:$A$557,$A14,'top&amp;core医院客户DDD'!$F$4:$F$557,LEFT(AC$2,1))/SUMIFS('top&amp;core医院客户DDD'!$R$4:$R$557,'top&amp;core医院客户DDD'!$A$4:$A$557,$A14),"")</f>
        <v>0</v>
      </c>
      <c r="AD14" s="45">
        <f>IFERROR(SUMIFS('top&amp;core医院客户DDD'!$R$4:$R$557,'top&amp;core医院客户DDD'!$A$4:$A$557,$A14,'top&amp;core医院客户DDD'!$F$4:$F$557,LEFT(AD$2,1))/SUMIFS('top&amp;core医院客户DDD'!$R$4:$R$557,'top&amp;core医院客户DDD'!$A$4:$A$557,$A14),"")</f>
        <v>0.30379746835443</v>
      </c>
      <c r="AE14" s="45">
        <f>IFERROR(SUMIFS('top&amp;core医院客户DDD'!$R$4:$R$557,'top&amp;core医院客户DDD'!$A$4:$A$557,$A14,'top&amp;core医院客户DDD'!$F$4:$F$557,LEFT(AE$2,1))/SUMIFS('top&amp;core医院客户DDD'!$R$4:$R$557,'top&amp;core医院客户DDD'!$A$4:$A$557,$A14),"")</f>
        <v>0.0632911392405063</v>
      </c>
      <c r="AF14" s="38">
        <v>4</v>
      </c>
      <c r="AG14" s="38">
        <v>0</v>
      </c>
      <c r="AH14" s="38">
        <v>1</v>
      </c>
      <c r="AI14" s="38">
        <v>1</v>
      </c>
      <c r="AJ14" s="38">
        <v>0</v>
      </c>
      <c r="AK14" s="38">
        <v>0</v>
      </c>
      <c r="AL14" s="44" t="s">
        <v>93</v>
      </c>
      <c r="AM14" s="44">
        <v>500</v>
      </c>
      <c r="AN14" s="46">
        <v>250</v>
      </c>
      <c r="AO14" s="46">
        <v>100</v>
      </c>
      <c r="AP14" s="46">
        <v>50</v>
      </c>
      <c r="AQ14" s="46">
        <v>100</v>
      </c>
      <c r="AR14" s="47" t="s">
        <v>144</v>
      </c>
      <c r="AS14" s="54" t="s">
        <v>145</v>
      </c>
      <c r="AT14" s="54" t="s">
        <v>146</v>
      </c>
      <c r="AU14" s="54" t="s">
        <v>147</v>
      </c>
    </row>
    <row r="15" ht="39" customHeight="1" spans="1:47">
      <c r="A15" s="38" t="s">
        <v>148</v>
      </c>
      <c r="B15" s="38" t="s">
        <v>99</v>
      </c>
      <c r="C15" s="38" t="s">
        <v>63</v>
      </c>
      <c r="D15" s="38" t="s">
        <v>89</v>
      </c>
      <c r="E15" s="39" t="s">
        <v>65</v>
      </c>
      <c r="F15" s="40" t="s">
        <v>55</v>
      </c>
      <c r="G15" s="40" t="s">
        <v>55</v>
      </c>
      <c r="H15" s="40" t="s">
        <v>55</v>
      </c>
      <c r="I15" s="41">
        <v>336</v>
      </c>
      <c r="J15" s="41">
        <v>300</v>
      </c>
      <c r="K15" s="41">
        <v>224</v>
      </c>
      <c r="L15" s="41">
        <v>168</v>
      </c>
      <c r="M15" s="41">
        <v>284</v>
      </c>
      <c r="N15" s="42"/>
      <c r="O15" s="42" t="s">
        <v>149</v>
      </c>
      <c r="P15" s="42"/>
      <c r="Q15" s="43">
        <v>1</v>
      </c>
      <c r="R15" s="42">
        <v>1</v>
      </c>
      <c r="S15" s="43">
        <v>0</v>
      </c>
      <c r="T15" s="42">
        <v>3</v>
      </c>
      <c r="U15" s="42">
        <v>7</v>
      </c>
      <c r="V15" s="44">
        <v>9</v>
      </c>
      <c r="W15" s="38">
        <v>2</v>
      </c>
      <c r="X15" s="38">
        <v>1</v>
      </c>
      <c r="Y15" s="38">
        <v>1</v>
      </c>
      <c r="Z15" s="38">
        <v>0</v>
      </c>
      <c r="AA15" s="38">
        <v>0</v>
      </c>
      <c r="AB15" s="45">
        <f>IFERROR(SUMIFS('top&amp;core医院客户DDD'!$R$4:$R$557,'top&amp;core医院客户DDD'!$A$4:$A$557,$A15,'top&amp;core医院客户DDD'!$F$4:$F$557,LEFT(AB$2,1))/SUMIFS('top&amp;core医院客户DDD'!$R$4:$R$557,'top&amp;core医院客户DDD'!$A$4:$A$557,$A15),"")</f>
        <v>0.929577464788732</v>
      </c>
      <c r="AC15" s="45">
        <f>IFERROR(SUMIFS('top&amp;core医院客户DDD'!$R$4:$R$557,'top&amp;core医院客户DDD'!$A$4:$A$557,$A15,'top&amp;core医院客户DDD'!$F$4:$F$557,LEFT(AC$2,1))/SUMIFS('top&amp;core医院客户DDD'!$R$4:$R$557,'top&amp;core医院客户DDD'!$A$4:$A$557,$A15),"")</f>
        <v>0</v>
      </c>
      <c r="AD15" s="45">
        <f>IFERROR(SUMIFS('top&amp;core医院客户DDD'!$R$4:$R$557,'top&amp;core医院客户DDD'!$A$4:$A$557,$A15,'top&amp;core医院客户DDD'!$F$4:$F$557,LEFT(AD$2,1))/SUMIFS('top&amp;core医院客户DDD'!$R$4:$R$557,'top&amp;core医院客户DDD'!$A$4:$A$557,$A15),"")</f>
        <v>0.0704225352112676</v>
      </c>
      <c r="AE15" s="45">
        <f>IFERROR(SUMIFS('top&amp;core医院客户DDD'!$R$4:$R$557,'top&amp;core医院客户DDD'!$A$4:$A$557,$A15,'top&amp;core医院客户DDD'!$F$4:$F$557,LEFT(AE$2,1))/SUMIFS('top&amp;core医院客户DDD'!$R$4:$R$557,'top&amp;core医院客户DDD'!$A$4:$A$557,$A15),"")</f>
        <v>0</v>
      </c>
      <c r="AF15" s="38">
        <v>1</v>
      </c>
      <c r="AG15" s="38">
        <v>0</v>
      </c>
      <c r="AH15" s="38">
        <v>0</v>
      </c>
      <c r="AI15" s="38">
        <v>1</v>
      </c>
      <c r="AJ15" s="38">
        <v>0</v>
      </c>
      <c r="AK15" s="38">
        <v>0</v>
      </c>
      <c r="AL15" s="44" t="s">
        <v>56</v>
      </c>
      <c r="AM15" s="44">
        <v>600</v>
      </c>
      <c r="AN15" s="46">
        <v>420</v>
      </c>
      <c r="AO15" s="46">
        <v>60</v>
      </c>
      <c r="AP15" s="46">
        <v>120</v>
      </c>
      <c r="AQ15" s="46">
        <v>0</v>
      </c>
      <c r="AR15" s="47" t="s">
        <v>150</v>
      </c>
      <c r="AS15" s="48" t="s">
        <v>151</v>
      </c>
      <c r="AT15" s="48" t="s">
        <v>152</v>
      </c>
      <c r="AU15" s="48" t="s">
        <v>153</v>
      </c>
    </row>
    <row r="16" ht="39" customHeight="1" spans="1:47">
      <c r="A16" s="38" t="s">
        <v>154</v>
      </c>
      <c r="B16" s="38" t="s">
        <v>99</v>
      </c>
      <c r="C16" s="38" t="s">
        <v>108</v>
      </c>
      <c r="D16" s="38" t="s">
        <v>155</v>
      </c>
      <c r="E16" s="39" t="s">
        <v>156</v>
      </c>
      <c r="F16" s="40" t="s">
        <v>55</v>
      </c>
      <c r="G16" s="40" t="s">
        <v>55</v>
      </c>
      <c r="H16" s="40" t="s">
        <v>55</v>
      </c>
      <c r="I16" s="41">
        <v>184</v>
      </c>
      <c r="J16" s="41">
        <v>200</v>
      </c>
      <c r="K16" s="41">
        <v>220</v>
      </c>
      <c r="L16" s="41">
        <v>216</v>
      </c>
      <c r="M16" s="41">
        <v>280</v>
      </c>
      <c r="N16" s="42"/>
      <c r="O16" s="42" t="s">
        <v>149</v>
      </c>
      <c r="P16" s="42"/>
      <c r="Q16" s="43">
        <v>1</v>
      </c>
      <c r="R16" s="42">
        <v>1</v>
      </c>
      <c r="S16" s="43">
        <v>2</v>
      </c>
      <c r="T16" s="42">
        <v>3</v>
      </c>
      <c r="U16" s="42">
        <v>7</v>
      </c>
      <c r="V16" s="44">
        <v>13</v>
      </c>
      <c r="W16" s="38">
        <v>4</v>
      </c>
      <c r="X16" s="38">
        <v>1</v>
      </c>
      <c r="Y16" s="38">
        <v>1</v>
      </c>
      <c r="Z16" s="38">
        <v>2</v>
      </c>
      <c r="AA16" s="38">
        <v>0</v>
      </c>
      <c r="AB16" s="45">
        <f>IFERROR(SUMIFS('top&amp;core医院客户DDD'!$R$4:$R$557,'top&amp;core医院客户DDD'!$A$4:$A$557,$A16,'top&amp;core医院客户DDD'!$F$4:$F$557,LEFT(AB$2,1))/SUMIFS('top&amp;core医院客户DDD'!$R$4:$R$557,'top&amp;core医院客户DDD'!$A$4:$A$557,$A16),"")</f>
        <v>0.114285714285714</v>
      </c>
      <c r="AC16" s="45">
        <f>IFERROR(SUMIFS('top&amp;core医院客户DDD'!$R$4:$R$557,'top&amp;core医院客户DDD'!$A$4:$A$557,$A16,'top&amp;core医院客户DDD'!$F$4:$F$557,LEFT(AC$2,1))/SUMIFS('top&amp;core医院客户DDD'!$R$4:$R$557,'top&amp;core医院客户DDD'!$A$4:$A$557,$A16),"")</f>
        <v>0.0571428571428571</v>
      </c>
      <c r="AD16" s="45">
        <f>IFERROR(SUMIFS('top&amp;core医院客户DDD'!$R$4:$R$557,'top&amp;core医院客户DDD'!$A$4:$A$557,$A16,'top&amp;core医院客户DDD'!$F$4:$F$557,LEFT(AD$2,1))/SUMIFS('top&amp;core医院客户DDD'!$R$4:$R$557,'top&amp;core医院客户DDD'!$A$4:$A$557,$A16),"")</f>
        <v>0.828571428571429</v>
      </c>
      <c r="AE16" s="45">
        <f>IFERROR(SUMIFS('top&amp;core医院客户DDD'!$R$4:$R$557,'top&amp;core医院客户DDD'!$A$4:$A$557,$A16,'top&amp;core医院客户DDD'!$F$4:$F$557,LEFT(AE$2,1))/SUMIFS('top&amp;core医院客户DDD'!$R$4:$R$557,'top&amp;core医院客户DDD'!$A$4:$A$557,$A16),"")</f>
        <v>0</v>
      </c>
      <c r="AF16" s="38">
        <v>1</v>
      </c>
      <c r="AG16" s="38">
        <v>2</v>
      </c>
      <c r="AH16" s="38">
        <v>0</v>
      </c>
      <c r="AI16" s="38">
        <v>1</v>
      </c>
      <c r="AJ16" s="38">
        <v>0</v>
      </c>
      <c r="AK16" s="38">
        <v>0</v>
      </c>
      <c r="AL16" s="44" t="s">
        <v>93</v>
      </c>
      <c r="AM16" s="44">
        <v>350</v>
      </c>
      <c r="AN16" s="46">
        <v>50</v>
      </c>
      <c r="AO16" s="46">
        <v>40</v>
      </c>
      <c r="AP16" s="46">
        <v>250</v>
      </c>
      <c r="AQ16" s="46">
        <v>10</v>
      </c>
      <c r="AR16" s="47" t="s">
        <v>157</v>
      </c>
      <c r="AS16" s="48" t="s">
        <v>158</v>
      </c>
      <c r="AT16" s="48" t="s">
        <v>159</v>
      </c>
      <c r="AU16" s="48" t="s">
        <v>160</v>
      </c>
    </row>
    <row r="17" ht="39" customHeight="1" spans="1:47">
      <c r="A17" s="38" t="s">
        <v>161</v>
      </c>
      <c r="B17" s="38" t="s">
        <v>99</v>
      </c>
      <c r="C17" s="38" t="s">
        <v>63</v>
      </c>
      <c r="D17" s="38" t="s">
        <v>162</v>
      </c>
      <c r="E17" s="39" t="s">
        <v>65</v>
      </c>
      <c r="F17" s="40" t="s">
        <v>55</v>
      </c>
      <c r="G17" s="40" t="s">
        <v>55</v>
      </c>
      <c r="H17" s="40" t="s">
        <v>55</v>
      </c>
      <c r="I17" s="41">
        <v>128</v>
      </c>
      <c r="J17" s="41">
        <v>178</v>
      </c>
      <c r="K17" s="41">
        <v>208</v>
      </c>
      <c r="L17" s="41">
        <v>264</v>
      </c>
      <c r="M17" s="41">
        <v>280</v>
      </c>
      <c r="N17" s="42"/>
      <c r="O17" s="42" t="s">
        <v>149</v>
      </c>
      <c r="P17" s="42"/>
      <c r="Q17" s="43">
        <v>1</v>
      </c>
      <c r="R17" s="42">
        <v>0</v>
      </c>
      <c r="S17" s="43">
        <v>1</v>
      </c>
      <c r="T17" s="42">
        <v>4</v>
      </c>
      <c r="U17" s="42">
        <v>5</v>
      </c>
      <c r="V17" s="44">
        <v>14</v>
      </c>
      <c r="W17" s="38">
        <v>5</v>
      </c>
      <c r="X17" s="38">
        <v>3</v>
      </c>
      <c r="Y17" s="38">
        <v>2</v>
      </c>
      <c r="Z17" s="38">
        <v>0</v>
      </c>
      <c r="AA17" s="38">
        <v>0</v>
      </c>
      <c r="AB17" s="45">
        <f>IFERROR(SUMIFS('top&amp;core医院客户DDD'!$R$4:$R$557,'top&amp;core医院客户DDD'!$A$4:$A$557,$A17,'top&amp;core医院客户DDD'!$F$4:$F$557,LEFT(AB$2,1))/SUMIFS('top&amp;core医院客户DDD'!$R$4:$R$557,'top&amp;core医院客户DDD'!$A$4:$A$557,$A17),"")</f>
        <v>0.666666666666667</v>
      </c>
      <c r="AC17" s="45">
        <f>IFERROR(SUMIFS('top&amp;core医院客户DDD'!$R$4:$R$557,'top&amp;core医院客户DDD'!$A$4:$A$557,$A17,'top&amp;core医院客户DDD'!$F$4:$F$557,LEFT(AC$2,1))/SUMIFS('top&amp;core医院客户DDD'!$R$4:$R$557,'top&amp;core医院客户DDD'!$A$4:$A$557,$A17),"")</f>
        <v>0.333333333333333</v>
      </c>
      <c r="AD17" s="45">
        <f>IFERROR(SUMIFS('top&amp;core医院客户DDD'!$R$4:$R$557,'top&amp;core医院客户DDD'!$A$4:$A$557,$A17,'top&amp;core医院客户DDD'!$F$4:$F$557,LEFT(AD$2,1))/SUMIFS('top&amp;core医院客户DDD'!$R$4:$R$557,'top&amp;core医院客户DDD'!$A$4:$A$557,$A17),"")</f>
        <v>0</v>
      </c>
      <c r="AE17" s="45">
        <f>IFERROR(SUMIFS('top&amp;core医院客户DDD'!$R$4:$R$557,'top&amp;core医院客户DDD'!$A$4:$A$557,$A17,'top&amp;core医院客户DDD'!$F$4:$F$557,LEFT(AE$2,1))/SUMIFS('top&amp;core医院客户DDD'!$R$4:$R$557,'top&amp;core医院客户DDD'!$A$4:$A$557,$A17),"")</f>
        <v>0</v>
      </c>
      <c r="AF17" s="38">
        <v>2</v>
      </c>
      <c r="AG17" s="38">
        <v>2</v>
      </c>
      <c r="AH17" s="38">
        <v>0</v>
      </c>
      <c r="AI17" s="38">
        <v>1</v>
      </c>
      <c r="AJ17" s="38">
        <v>0</v>
      </c>
      <c r="AK17" s="38">
        <v>0</v>
      </c>
      <c r="AL17" s="44" t="s">
        <v>163</v>
      </c>
      <c r="AM17" s="44">
        <v>600</v>
      </c>
      <c r="AN17" s="46">
        <v>240</v>
      </c>
      <c r="AO17" s="46">
        <v>180</v>
      </c>
      <c r="AP17" s="46">
        <v>120</v>
      </c>
      <c r="AQ17" s="46">
        <v>60</v>
      </c>
      <c r="AR17" s="47" t="s">
        <v>164</v>
      </c>
      <c r="AS17" s="48" t="s">
        <v>165</v>
      </c>
      <c r="AT17" s="48" t="s">
        <v>166</v>
      </c>
      <c r="AU17" s="48" t="s">
        <v>167</v>
      </c>
    </row>
    <row r="18" ht="39" customHeight="1" spans="1:47">
      <c r="A18" s="38" t="s">
        <v>168</v>
      </c>
      <c r="B18" s="38" t="s">
        <v>99</v>
      </c>
      <c r="C18" s="38" t="s">
        <v>100</v>
      </c>
      <c r="D18" s="38" t="s">
        <v>169</v>
      </c>
      <c r="E18" s="39" t="s">
        <v>65</v>
      </c>
      <c r="F18" s="40" t="s">
        <v>55</v>
      </c>
      <c r="G18" s="40" t="s">
        <v>55</v>
      </c>
      <c r="H18" s="40" t="s">
        <v>55</v>
      </c>
      <c r="I18" s="41">
        <v>248</v>
      </c>
      <c r="J18" s="41">
        <v>304</v>
      </c>
      <c r="K18" s="41">
        <v>356</v>
      </c>
      <c r="L18" s="41">
        <v>328</v>
      </c>
      <c r="M18" s="41">
        <v>256</v>
      </c>
      <c r="N18" s="42"/>
      <c r="O18" s="42" t="s">
        <v>149</v>
      </c>
      <c r="P18" s="42"/>
      <c r="Q18" s="53">
        <v>3</v>
      </c>
      <c r="R18" s="18">
        <v>1</v>
      </c>
      <c r="S18" s="53">
        <v>2</v>
      </c>
      <c r="T18" s="18">
        <v>7</v>
      </c>
      <c r="U18" s="18">
        <v>13</v>
      </c>
      <c r="V18" s="44">
        <v>15</v>
      </c>
      <c r="W18" s="38">
        <v>12</v>
      </c>
      <c r="X18" s="38">
        <v>1</v>
      </c>
      <c r="Y18" s="38">
        <v>5</v>
      </c>
      <c r="Z18" s="38">
        <v>5</v>
      </c>
      <c r="AA18" s="38">
        <v>1</v>
      </c>
      <c r="AB18" s="45">
        <f>IFERROR(SUMIFS('top&amp;core医院客户DDD'!$R$4:$R$557,'top&amp;core医院客户DDD'!$A$4:$A$557,$A18,'top&amp;core医院客户DDD'!$F$4:$F$557,LEFT(AB$2,1))/SUMIFS('top&amp;core医院客户DDD'!$R$4:$R$557,'top&amp;core医院客户DDD'!$A$4:$A$557,$A18),"")</f>
        <v>0.409836065573771</v>
      </c>
      <c r="AC18" s="45">
        <f>IFERROR(SUMIFS('top&amp;core医院客户DDD'!$R$4:$R$557,'top&amp;core医院客户DDD'!$A$4:$A$557,$A18,'top&amp;core医院客户DDD'!$F$4:$F$557,LEFT(AC$2,1))/SUMIFS('top&amp;core医院客户DDD'!$R$4:$R$557,'top&amp;core医院客户DDD'!$A$4:$A$557,$A18),"")</f>
        <v>0.0655737704918033</v>
      </c>
      <c r="AD18" s="45">
        <f>IFERROR(SUMIFS('top&amp;core医院客户DDD'!$R$4:$R$557,'top&amp;core医院客户DDD'!$A$4:$A$557,$A18,'top&amp;core医院客户DDD'!$F$4:$F$557,LEFT(AD$2,1))/SUMIFS('top&amp;core医院客户DDD'!$R$4:$R$557,'top&amp;core医院客户DDD'!$A$4:$A$557,$A18),"")</f>
        <v>0.524590163934426</v>
      </c>
      <c r="AE18" s="45">
        <f>IFERROR(SUMIFS('top&amp;core医院客户DDD'!$R$4:$R$557,'top&amp;core医院客户DDD'!$A$4:$A$557,$A18,'top&amp;core医院客户DDD'!$F$4:$F$557,LEFT(AE$2,1))/SUMIFS('top&amp;core医院客户DDD'!$R$4:$R$557,'top&amp;core医院客户DDD'!$A$4:$A$557,$A18),"")</f>
        <v>0</v>
      </c>
      <c r="AF18" s="38">
        <v>9</v>
      </c>
      <c r="AG18" s="38">
        <v>2</v>
      </c>
      <c r="AH18" s="38">
        <v>1</v>
      </c>
      <c r="AI18" s="38">
        <v>0</v>
      </c>
      <c r="AJ18" s="38">
        <v>0</v>
      </c>
      <c r="AK18" s="38">
        <v>0</v>
      </c>
      <c r="AL18" s="44" t="s">
        <v>102</v>
      </c>
      <c r="AM18" s="44">
        <v>430</v>
      </c>
      <c r="AN18" s="46">
        <v>130</v>
      </c>
      <c r="AO18" s="46">
        <v>90</v>
      </c>
      <c r="AP18" s="46">
        <v>170</v>
      </c>
      <c r="AQ18" s="46">
        <v>40</v>
      </c>
      <c r="AR18" s="47" t="s">
        <v>170</v>
      </c>
      <c r="AS18" s="54" t="s">
        <v>171</v>
      </c>
      <c r="AT18" s="54" t="s">
        <v>172</v>
      </c>
      <c r="AU18" s="54" t="s">
        <v>173</v>
      </c>
    </row>
    <row r="19" ht="39" customHeight="1" spans="1:47">
      <c r="A19" s="49" t="s">
        <v>174</v>
      </c>
      <c r="B19" s="38" t="s">
        <v>99</v>
      </c>
      <c r="C19" s="38" t="s">
        <v>52</v>
      </c>
      <c r="D19" s="38" t="s">
        <v>175</v>
      </c>
      <c r="E19" s="39" t="s">
        <v>72</v>
      </c>
      <c r="F19" s="40" t="s">
        <v>73</v>
      </c>
      <c r="G19" s="40" t="s">
        <v>136</v>
      </c>
      <c r="H19" s="40" t="s">
        <v>176</v>
      </c>
      <c r="I19" s="41">
        <v>108</v>
      </c>
      <c r="J19" s="41">
        <v>72</v>
      </c>
      <c r="K19" s="41">
        <v>148</v>
      </c>
      <c r="L19" s="41">
        <v>180</v>
      </c>
      <c r="M19" s="41">
        <v>232</v>
      </c>
      <c r="N19" s="42"/>
      <c r="O19" s="42" t="s">
        <v>149</v>
      </c>
      <c r="P19" s="42"/>
      <c r="Q19" s="53">
        <v>6</v>
      </c>
      <c r="R19" s="18">
        <v>1</v>
      </c>
      <c r="S19" s="53">
        <v>7</v>
      </c>
      <c r="T19" s="18">
        <v>6</v>
      </c>
      <c r="U19" s="18">
        <v>11</v>
      </c>
      <c r="V19" s="44">
        <v>11</v>
      </c>
      <c r="W19" s="38">
        <v>6</v>
      </c>
      <c r="X19" s="38">
        <v>1</v>
      </c>
      <c r="Y19" s="38">
        <v>2</v>
      </c>
      <c r="Z19" s="38">
        <v>2</v>
      </c>
      <c r="AA19" s="38">
        <v>1</v>
      </c>
      <c r="AB19" s="45">
        <f>IFERROR(SUMIFS('top&amp;core医院客户DDD'!$R$4:$R$557,'top&amp;core医院客户DDD'!$A$4:$A$557,$A19,'top&amp;core医院客户DDD'!$F$4:$F$557,LEFT(AB$2,1))/SUMIFS('top&amp;core医院客户DDD'!$R$4:$R$557,'top&amp;core医院客户DDD'!$A$4:$A$557,$A19),"")</f>
        <v>0.0172413793103448</v>
      </c>
      <c r="AC19" s="45">
        <f>IFERROR(SUMIFS('top&amp;core医院客户DDD'!$R$4:$R$557,'top&amp;core医院客户DDD'!$A$4:$A$557,$A19,'top&amp;core医院客户DDD'!$F$4:$F$557,LEFT(AC$2,1))/SUMIFS('top&amp;core医院客户DDD'!$R$4:$R$557,'top&amp;core医院客户DDD'!$A$4:$A$557,$A19),"")</f>
        <v>0.0517241379310345</v>
      </c>
      <c r="AD19" s="45">
        <f>IFERROR(SUMIFS('top&amp;core医院客户DDD'!$R$4:$R$557,'top&amp;core医院客户DDD'!$A$4:$A$557,$A19,'top&amp;core医院客户DDD'!$F$4:$F$557,LEFT(AD$2,1))/SUMIFS('top&amp;core医院客户DDD'!$R$4:$R$557,'top&amp;core医院客户DDD'!$A$4:$A$557,$A19),"")</f>
        <v>0.413793103448276</v>
      </c>
      <c r="AE19" s="45">
        <f>IFERROR(SUMIFS('top&amp;core医院客户DDD'!$R$4:$R$557,'top&amp;core医院客户DDD'!$A$4:$A$557,$A19,'top&amp;core医院客户DDD'!$F$4:$F$557,LEFT(AE$2,1))/SUMIFS('top&amp;core医院客户DDD'!$R$4:$R$557,'top&amp;core医院客户DDD'!$A$4:$A$557,$A19),"")</f>
        <v>0.517241379310345</v>
      </c>
      <c r="AF19" s="38">
        <v>3</v>
      </c>
      <c r="AG19" s="38">
        <v>2</v>
      </c>
      <c r="AH19" s="38">
        <v>1</v>
      </c>
      <c r="AI19" s="38">
        <v>0</v>
      </c>
      <c r="AJ19" s="38">
        <v>0</v>
      </c>
      <c r="AK19" s="38">
        <v>0</v>
      </c>
      <c r="AL19" s="44" t="s">
        <v>163</v>
      </c>
      <c r="AM19" s="44">
        <v>960</v>
      </c>
      <c r="AN19" s="46">
        <v>210</v>
      </c>
      <c r="AO19" s="46">
        <v>150</v>
      </c>
      <c r="AP19" s="46">
        <v>300</v>
      </c>
      <c r="AQ19" s="46">
        <v>300</v>
      </c>
      <c r="AR19" s="47" t="s">
        <v>177</v>
      </c>
      <c r="AS19" s="54" t="s">
        <v>178</v>
      </c>
      <c r="AT19" s="54"/>
      <c r="AU19" s="54" t="s">
        <v>179</v>
      </c>
    </row>
    <row r="20" ht="39" customHeight="1" spans="1:47">
      <c r="A20" s="38" t="s">
        <v>180</v>
      </c>
      <c r="B20" s="38" t="s">
        <v>99</v>
      </c>
      <c r="C20" s="38" t="s">
        <v>108</v>
      </c>
      <c r="D20" s="38" t="s">
        <v>181</v>
      </c>
      <c r="E20" s="39" t="s">
        <v>65</v>
      </c>
      <c r="F20" s="40" t="s">
        <v>55</v>
      </c>
      <c r="G20" s="40" t="s">
        <v>55</v>
      </c>
      <c r="H20" s="40" t="s">
        <v>55</v>
      </c>
      <c r="I20" s="41">
        <v>180</v>
      </c>
      <c r="J20" s="41">
        <v>224</v>
      </c>
      <c r="K20" s="41">
        <v>252</v>
      </c>
      <c r="L20" s="41">
        <v>248</v>
      </c>
      <c r="M20" s="41">
        <v>212</v>
      </c>
      <c r="N20" s="42"/>
      <c r="O20" s="42" t="s">
        <v>149</v>
      </c>
      <c r="P20" s="42"/>
      <c r="Q20" s="53">
        <v>1</v>
      </c>
      <c r="R20" s="18">
        <v>2</v>
      </c>
      <c r="S20" s="53">
        <v>1</v>
      </c>
      <c r="T20" s="18">
        <v>3</v>
      </c>
      <c r="U20" s="18">
        <v>16</v>
      </c>
      <c r="V20" s="44">
        <v>8</v>
      </c>
      <c r="W20" s="38">
        <v>6</v>
      </c>
      <c r="X20" s="38">
        <v>1</v>
      </c>
      <c r="Y20" s="38">
        <v>4</v>
      </c>
      <c r="Z20" s="38">
        <v>1</v>
      </c>
      <c r="AA20" s="38">
        <v>0</v>
      </c>
      <c r="AB20" s="45">
        <f>IFERROR(SUMIFS('top&amp;core医院客户DDD'!$R$4:$R$557,'top&amp;core医院客户DDD'!$A$4:$A$557,$A20,'top&amp;core医院客户DDD'!$F$4:$F$557,LEFT(AB$2,1))/SUMIFS('top&amp;core医院客户DDD'!$R$4:$R$557,'top&amp;core医院客户DDD'!$A$4:$A$557,$A20),"")</f>
        <v>0.811320754716981</v>
      </c>
      <c r="AC20" s="45">
        <f>IFERROR(SUMIFS('top&amp;core医院客户DDD'!$R$4:$R$557,'top&amp;core医院客户DDD'!$A$4:$A$557,$A20,'top&amp;core医院客户DDD'!$F$4:$F$557,LEFT(AC$2,1))/SUMIFS('top&amp;core医院客户DDD'!$R$4:$R$557,'top&amp;core医院客户DDD'!$A$4:$A$557,$A20),"")</f>
        <v>0.188679245283019</v>
      </c>
      <c r="AD20" s="45">
        <f>IFERROR(SUMIFS('top&amp;core医院客户DDD'!$R$4:$R$557,'top&amp;core医院客户DDD'!$A$4:$A$557,$A20,'top&amp;core医院客户DDD'!$F$4:$F$557,LEFT(AD$2,1))/SUMIFS('top&amp;core医院客户DDD'!$R$4:$R$557,'top&amp;core医院客户DDD'!$A$4:$A$557,$A20),"")</f>
        <v>0</v>
      </c>
      <c r="AE20" s="45">
        <f>IFERROR(SUMIFS('top&amp;core医院客户DDD'!$R$4:$R$557,'top&amp;core医院客户DDD'!$A$4:$A$557,$A20,'top&amp;core医院客户DDD'!$F$4:$F$557,LEFT(AE$2,1))/SUMIFS('top&amp;core医院客户DDD'!$R$4:$R$557,'top&amp;core医院客户DDD'!$A$4:$A$557,$A20),"")</f>
        <v>0</v>
      </c>
      <c r="AF20" s="38">
        <v>4</v>
      </c>
      <c r="AG20" s="38">
        <v>1</v>
      </c>
      <c r="AH20" s="38">
        <v>1</v>
      </c>
      <c r="AI20" s="38">
        <v>0</v>
      </c>
      <c r="AJ20" s="38">
        <v>0</v>
      </c>
      <c r="AK20" s="38">
        <v>0</v>
      </c>
      <c r="AL20" s="44" t="s">
        <v>93</v>
      </c>
      <c r="AM20" s="44">
        <v>500</v>
      </c>
      <c r="AN20" s="46">
        <v>200</v>
      </c>
      <c r="AO20" s="46">
        <v>150</v>
      </c>
      <c r="AP20" s="46">
        <v>100</v>
      </c>
      <c r="AQ20" s="46">
        <v>50</v>
      </c>
      <c r="AR20" s="47" t="s">
        <v>182</v>
      </c>
      <c r="AS20" s="54" t="s">
        <v>183</v>
      </c>
      <c r="AT20" s="54" t="s">
        <v>184</v>
      </c>
      <c r="AU20" s="54" t="s">
        <v>185</v>
      </c>
    </row>
    <row r="21" ht="39" customHeight="1" spans="1:47">
      <c r="A21" s="38" t="s">
        <v>186</v>
      </c>
      <c r="B21" s="38" t="s">
        <v>99</v>
      </c>
      <c r="C21" s="38" t="s">
        <v>100</v>
      </c>
      <c r="D21" s="38" t="s">
        <v>169</v>
      </c>
      <c r="E21" s="39" t="s">
        <v>65</v>
      </c>
      <c r="F21" s="40" t="s">
        <v>55</v>
      </c>
      <c r="G21" s="40" t="s">
        <v>55</v>
      </c>
      <c r="H21" s="40" t="s">
        <v>55</v>
      </c>
      <c r="I21" s="41">
        <v>152</v>
      </c>
      <c r="J21" s="41">
        <v>136</v>
      </c>
      <c r="K21" s="41">
        <v>136</v>
      </c>
      <c r="L21" s="41">
        <v>152</v>
      </c>
      <c r="M21" s="41">
        <v>188</v>
      </c>
      <c r="N21" s="42"/>
      <c r="O21" s="42" t="s">
        <v>149</v>
      </c>
      <c r="P21" s="42"/>
      <c r="Q21" s="43">
        <v>1</v>
      </c>
      <c r="R21" s="42">
        <v>1</v>
      </c>
      <c r="S21" s="43">
        <v>3</v>
      </c>
      <c r="T21" s="42">
        <v>6</v>
      </c>
      <c r="U21" s="42">
        <v>20</v>
      </c>
      <c r="V21" s="44">
        <v>20</v>
      </c>
      <c r="W21" s="38">
        <v>10</v>
      </c>
      <c r="X21" s="38">
        <v>1</v>
      </c>
      <c r="Y21" s="38">
        <v>7</v>
      </c>
      <c r="Z21" s="38">
        <v>1</v>
      </c>
      <c r="AA21" s="38">
        <v>1</v>
      </c>
      <c r="AB21" s="45">
        <f>IFERROR(SUMIFS('top&amp;core医院客户DDD'!$R$4:$R$552,'top&amp;core医院客户DDD'!$A$4:$A$552,$A21,'top&amp;core医院客户DDD'!$F$4:$F$552,LEFT(AB$2,1))/SUMIFS('top&amp;core医院客户DDD'!$R$4:$R$552,'top&amp;core医院客户DDD'!$A$4:$A$552,$A21),"")</f>
        <v>0.263157894736842</v>
      </c>
      <c r="AC21" s="45">
        <f>IFERROR(SUMIFS('top&amp;core医院客户DDD'!$R$4:$R$552,'top&amp;core医院客户DDD'!$A$4:$A$552,$A21,'top&amp;core医院客户DDD'!$F$4:$F$552,LEFT(AC$2,1))/SUMIFS('top&amp;core医院客户DDD'!$R$4:$R$552,'top&amp;core医院客户DDD'!$A$4:$A$552,$A21),"")</f>
        <v>0.473684210526316</v>
      </c>
      <c r="AD21" s="45">
        <f>IFERROR(SUMIFS('top&amp;core医院客户DDD'!$R$4:$R$552,'top&amp;core医院客户DDD'!$A$4:$A$552,$A21,'top&amp;core医院客户DDD'!$F$4:$F$552,LEFT(AD$2,1))/SUMIFS('top&amp;core医院客户DDD'!$R$4:$R$552,'top&amp;core医院客户DDD'!$A$4:$A$552,$A21),"")</f>
        <v>0.236842105263158</v>
      </c>
      <c r="AE21" s="45">
        <f>IFERROR(SUMIFS('top&amp;core医院客户DDD'!$R$4:$R$552,'top&amp;core医院客户DDD'!$A$4:$A$552,$A21,'top&amp;core医院客户DDD'!$F$4:$F$552,LEFT(AE$2,1))/SUMIFS('top&amp;core医院客户DDD'!$R$4:$R$552,'top&amp;core医院客户DDD'!$A$4:$A$552,$A21),"")</f>
        <v>0.0263157894736842</v>
      </c>
      <c r="AF21" s="38">
        <v>7</v>
      </c>
      <c r="AG21" s="38">
        <v>3</v>
      </c>
      <c r="AH21" s="38">
        <v>0</v>
      </c>
      <c r="AI21" s="38">
        <v>0</v>
      </c>
      <c r="AJ21" s="38">
        <v>0</v>
      </c>
      <c r="AK21" s="38">
        <v>0</v>
      </c>
      <c r="AL21" s="44" t="s">
        <v>102</v>
      </c>
      <c r="AM21" s="44">
        <v>400</v>
      </c>
      <c r="AN21" s="46">
        <v>70</v>
      </c>
      <c r="AO21" s="46">
        <v>180</v>
      </c>
      <c r="AP21" s="46">
        <v>110</v>
      </c>
      <c r="AQ21" s="46">
        <v>40</v>
      </c>
      <c r="AR21" s="47" t="s">
        <v>187</v>
      </c>
      <c r="AS21" s="48" t="s">
        <v>188</v>
      </c>
      <c r="AT21" s="48" t="s">
        <v>189</v>
      </c>
      <c r="AU21" s="48" t="s">
        <v>190</v>
      </c>
    </row>
    <row r="22" ht="39" customHeight="1" spans="1:47">
      <c r="A22" s="38" t="s">
        <v>191</v>
      </c>
      <c r="B22" s="38" t="s">
        <v>51</v>
      </c>
      <c r="C22" s="38" t="s">
        <v>81</v>
      </c>
      <c r="D22" s="38" t="s">
        <v>192</v>
      </c>
      <c r="E22" s="39" t="s">
        <v>65</v>
      </c>
      <c r="F22" s="40" t="s">
        <v>55</v>
      </c>
      <c r="G22" s="40" t="s">
        <v>55</v>
      </c>
      <c r="H22" s="40" t="s">
        <v>55</v>
      </c>
      <c r="I22" s="41">
        <v>203</v>
      </c>
      <c r="J22" s="41">
        <v>320</v>
      </c>
      <c r="K22" s="41">
        <v>288</v>
      </c>
      <c r="L22" s="41">
        <v>313</v>
      </c>
      <c r="M22" s="41">
        <v>178</v>
      </c>
      <c r="N22" s="42"/>
      <c r="O22" s="42" t="s">
        <v>149</v>
      </c>
      <c r="P22" s="42"/>
      <c r="Q22" s="43">
        <v>0</v>
      </c>
      <c r="R22" s="42">
        <v>2</v>
      </c>
      <c r="S22" s="43">
        <v>4</v>
      </c>
      <c r="T22" s="42">
        <v>2</v>
      </c>
      <c r="U22" s="42">
        <v>19</v>
      </c>
      <c r="V22" s="44">
        <v>16</v>
      </c>
      <c r="W22" s="38">
        <v>9</v>
      </c>
      <c r="X22" s="38">
        <v>2</v>
      </c>
      <c r="Y22" s="38">
        <v>7</v>
      </c>
      <c r="Z22" s="38">
        <v>0</v>
      </c>
      <c r="AA22" s="38">
        <v>0</v>
      </c>
      <c r="AB22" s="45">
        <f>IFERROR(SUMIFS('top&amp;core医院客户DDD'!$R$4:$R$555,'top&amp;core医院客户DDD'!$A$4:$A$555,$A22,'top&amp;core医院客户DDD'!$F$4:$F$555,LEFT(AB$2,1))/SUMIFS('top&amp;core医院客户DDD'!$R$4:$R$555,'top&amp;core医院客户DDD'!$A$4:$A$555,$A22),"")</f>
        <v>0.229885057471264</v>
      </c>
      <c r="AC22" s="45">
        <f>IFERROR(SUMIFS('top&amp;core医院客户DDD'!$R$4:$R$555,'top&amp;core医院客户DDD'!$A$4:$A$555,$A22,'top&amp;core医院客户DDD'!$F$4:$F$555,LEFT(AC$2,1))/SUMIFS('top&amp;core医院客户DDD'!$R$4:$R$555,'top&amp;core医院客户DDD'!$A$4:$A$555,$A22),"")</f>
        <v>0.770114942528736</v>
      </c>
      <c r="AD22" s="45">
        <f>IFERROR(SUMIFS('top&amp;core医院客户DDD'!$R$4:$R$555,'top&amp;core医院客户DDD'!$A$4:$A$555,$A22,'top&amp;core医院客户DDD'!$F$4:$F$555,LEFT(AD$2,1))/SUMIFS('top&amp;core医院客户DDD'!$R$4:$R$555,'top&amp;core医院客户DDD'!$A$4:$A$555,$A22),"")</f>
        <v>0</v>
      </c>
      <c r="AE22" s="45">
        <f>IFERROR(SUMIFS('top&amp;core医院客户DDD'!$R$4:$R$555,'top&amp;core医院客户DDD'!$A$4:$A$555,$A22,'top&amp;core医院客户DDD'!$F$4:$F$555,LEFT(AE$2,1))/SUMIFS('top&amp;core医院客户DDD'!$R$4:$R$555,'top&amp;core医院客户DDD'!$A$4:$A$555,$A22),"")</f>
        <v>0</v>
      </c>
      <c r="AF22" s="38">
        <v>8</v>
      </c>
      <c r="AG22" s="38">
        <v>1</v>
      </c>
      <c r="AH22" s="38">
        <v>0</v>
      </c>
      <c r="AI22" s="38">
        <v>0</v>
      </c>
      <c r="AJ22" s="38">
        <v>0</v>
      </c>
      <c r="AK22" s="38">
        <v>0</v>
      </c>
      <c r="AL22" s="44" t="s">
        <v>102</v>
      </c>
      <c r="AM22" s="44">
        <v>320</v>
      </c>
      <c r="AN22" s="46">
        <v>64</v>
      </c>
      <c r="AO22" s="46">
        <v>192</v>
      </c>
      <c r="AP22" s="46">
        <v>48</v>
      </c>
      <c r="AQ22" s="46">
        <v>16</v>
      </c>
      <c r="AR22" s="47" t="s">
        <v>193</v>
      </c>
      <c r="AS22" s="48" t="s">
        <v>194</v>
      </c>
      <c r="AT22" s="48" t="s">
        <v>195</v>
      </c>
      <c r="AU22" s="48" t="s">
        <v>196</v>
      </c>
    </row>
    <row r="23" ht="39" customHeight="1" spans="1:47">
      <c r="A23" s="38" t="s">
        <v>197</v>
      </c>
      <c r="B23" s="38" t="s">
        <v>99</v>
      </c>
      <c r="C23" s="38" t="s">
        <v>100</v>
      </c>
      <c r="D23" s="38" t="s">
        <v>100</v>
      </c>
      <c r="E23" s="39" t="s">
        <v>65</v>
      </c>
      <c r="F23" s="40" t="s">
        <v>55</v>
      </c>
      <c r="G23" s="40" t="s">
        <v>55</v>
      </c>
      <c r="H23" s="40" t="s">
        <v>55</v>
      </c>
      <c r="I23" s="41">
        <v>188</v>
      </c>
      <c r="J23" s="41">
        <v>196</v>
      </c>
      <c r="K23" s="41">
        <v>120</v>
      </c>
      <c r="L23" s="41">
        <v>140</v>
      </c>
      <c r="M23" s="41">
        <v>176</v>
      </c>
      <c r="N23" s="42"/>
      <c r="O23" s="42" t="s">
        <v>149</v>
      </c>
      <c r="P23" s="42"/>
      <c r="Q23" s="53">
        <v>0</v>
      </c>
      <c r="R23" s="18">
        <v>1</v>
      </c>
      <c r="S23" s="53">
        <v>4</v>
      </c>
      <c r="T23" s="18">
        <v>3</v>
      </c>
      <c r="U23" s="18">
        <v>10</v>
      </c>
      <c r="V23" s="44"/>
      <c r="W23" s="38">
        <v>5</v>
      </c>
      <c r="X23" s="38">
        <v>1</v>
      </c>
      <c r="Y23" s="38">
        <v>1</v>
      </c>
      <c r="Z23" s="38">
        <v>3</v>
      </c>
      <c r="AA23" s="38">
        <v>0</v>
      </c>
      <c r="AB23" s="45">
        <f>IFERROR(SUMIFS('top&amp;core医院客户DDD'!$R$4:$R$557,'top&amp;core医院客户DDD'!$A$4:$A$557,$A23,'top&amp;core医院客户DDD'!$F$4:$F$557,LEFT(AB$2,1))/SUMIFS('top&amp;core医院客户DDD'!$R$4:$R$557,'top&amp;core医院客户DDD'!$A$4:$A$557,$A23),"")</f>
        <v>0.0975609756097561</v>
      </c>
      <c r="AC23" s="45">
        <f>IFERROR(SUMIFS('top&amp;core医院客户DDD'!$R$4:$R$557,'top&amp;core医院客户DDD'!$A$4:$A$557,$A23,'top&amp;core医院客户DDD'!$F$4:$F$557,LEFT(AC$2,1))/SUMIFS('top&amp;core医院客户DDD'!$R$4:$R$557,'top&amp;core医院客户DDD'!$A$4:$A$557,$A23),"")</f>
        <v>0.682926829268293</v>
      </c>
      <c r="AD23" s="45">
        <f>IFERROR(SUMIFS('top&amp;core医院客户DDD'!$R$4:$R$557,'top&amp;core医院客户DDD'!$A$4:$A$557,$A23,'top&amp;core医院客户DDD'!$F$4:$F$557,LEFT(AD$2,1))/SUMIFS('top&amp;core医院客户DDD'!$R$4:$R$557,'top&amp;core医院客户DDD'!$A$4:$A$557,$A23),"")</f>
        <v>0.219512195121951</v>
      </c>
      <c r="AE23" s="45">
        <f>IFERROR(SUMIFS('top&amp;core医院客户DDD'!$R$4:$R$557,'top&amp;core医院客户DDD'!$A$4:$A$557,$A23,'top&amp;core医院客户DDD'!$F$4:$F$557,LEFT(AE$2,1))/SUMIFS('top&amp;core医院客户DDD'!$R$4:$R$557,'top&amp;core医院客户DDD'!$A$4:$A$557,$A23),"")</f>
        <v>0</v>
      </c>
      <c r="AF23" s="38">
        <v>2</v>
      </c>
      <c r="AG23" s="38">
        <v>2</v>
      </c>
      <c r="AH23" s="38">
        <v>1</v>
      </c>
      <c r="AI23" s="38">
        <v>0</v>
      </c>
      <c r="AJ23" s="38">
        <v>0</v>
      </c>
      <c r="AK23" s="38">
        <v>0</v>
      </c>
      <c r="AL23" s="44" t="s">
        <v>102</v>
      </c>
      <c r="AM23" s="44">
        <v>308</v>
      </c>
      <c r="AN23" s="46">
        <v>0</v>
      </c>
      <c r="AO23" s="46">
        <v>184</v>
      </c>
      <c r="AP23" s="46">
        <v>112</v>
      </c>
      <c r="AQ23" s="46">
        <v>12</v>
      </c>
      <c r="AR23" s="47" t="s">
        <v>198</v>
      </c>
      <c r="AS23" s="54" t="s">
        <v>199</v>
      </c>
      <c r="AT23" s="54" t="s">
        <v>200</v>
      </c>
      <c r="AU23" s="54" t="s">
        <v>201</v>
      </c>
    </row>
    <row r="24" ht="39" customHeight="1" spans="1:47">
      <c r="A24" s="38" t="s">
        <v>202</v>
      </c>
      <c r="B24" s="38" t="s">
        <v>99</v>
      </c>
      <c r="C24" s="38" t="s">
        <v>100</v>
      </c>
      <c r="D24" s="38" t="s">
        <v>203</v>
      </c>
      <c r="E24" s="39" t="s">
        <v>65</v>
      </c>
      <c r="F24" s="40" t="s">
        <v>55</v>
      </c>
      <c r="G24" s="40" t="s">
        <v>55</v>
      </c>
      <c r="H24" s="40" t="s">
        <v>55</v>
      </c>
      <c r="I24" s="41">
        <v>136</v>
      </c>
      <c r="J24" s="41">
        <v>124</v>
      </c>
      <c r="K24" s="41">
        <v>160</v>
      </c>
      <c r="L24" s="41">
        <v>152</v>
      </c>
      <c r="M24" s="41">
        <v>176</v>
      </c>
      <c r="N24" s="42"/>
      <c r="O24" s="42" t="s">
        <v>149</v>
      </c>
      <c r="P24" s="42"/>
      <c r="Q24" s="53">
        <v>2</v>
      </c>
      <c r="R24" s="18">
        <v>1</v>
      </c>
      <c r="S24" s="53">
        <v>8</v>
      </c>
      <c r="T24" s="18">
        <v>4</v>
      </c>
      <c r="U24" s="18">
        <v>14</v>
      </c>
      <c r="V24" s="44">
        <v>10</v>
      </c>
      <c r="W24" s="38">
        <v>7</v>
      </c>
      <c r="X24" s="38">
        <v>1</v>
      </c>
      <c r="Y24" s="38">
        <v>5</v>
      </c>
      <c r="Z24" s="38">
        <v>1</v>
      </c>
      <c r="AA24" s="38">
        <v>0</v>
      </c>
      <c r="AB24" s="45">
        <f>IFERROR(SUMIFS('top&amp;core医院客户DDD'!$R$4:$R$557,'top&amp;core医院客户DDD'!$A$4:$A$557,$A24,'top&amp;core医院客户DDD'!$F$4:$F$557,LEFT(AB$2,1))/SUMIFS('top&amp;core医院客户DDD'!$R$4:$R$557,'top&amp;core医院客户DDD'!$A$4:$A$557,$A24),"")</f>
        <v>0.272727272727273</v>
      </c>
      <c r="AC24" s="45">
        <f>IFERROR(SUMIFS('top&amp;core医院客户DDD'!$R$4:$R$557,'top&amp;core医院客户DDD'!$A$4:$A$557,$A24,'top&amp;core医院客户DDD'!$F$4:$F$557,LEFT(AC$2,1))/SUMIFS('top&amp;core医院客户DDD'!$R$4:$R$557,'top&amp;core医院客户DDD'!$A$4:$A$557,$A24),"")</f>
        <v>0.636363636363636</v>
      </c>
      <c r="AD24" s="45">
        <f>IFERROR(SUMIFS('top&amp;core医院客户DDD'!$R$4:$R$557,'top&amp;core医院客户DDD'!$A$4:$A$557,$A24,'top&amp;core医院客户DDD'!$F$4:$F$557,LEFT(AD$2,1))/SUMIFS('top&amp;core医院客户DDD'!$R$4:$R$557,'top&amp;core医院客户DDD'!$A$4:$A$557,$A24),"")</f>
        <v>0.0909090909090909</v>
      </c>
      <c r="AE24" s="45">
        <f>IFERROR(SUMIFS('top&amp;core医院客户DDD'!$R$4:$R$557,'top&amp;core医院客户DDD'!$A$4:$A$557,$A24,'top&amp;core医院客户DDD'!$F$4:$F$557,LEFT(AE$2,1))/SUMIFS('top&amp;core医院客户DDD'!$R$4:$R$557,'top&amp;core医院客户DDD'!$A$4:$A$557,$A24),"")</f>
        <v>0</v>
      </c>
      <c r="AF24" s="38">
        <v>4</v>
      </c>
      <c r="AG24" s="38">
        <v>3</v>
      </c>
      <c r="AH24" s="38">
        <v>0</v>
      </c>
      <c r="AI24" s="38">
        <v>0</v>
      </c>
      <c r="AJ24" s="38">
        <v>0</v>
      </c>
      <c r="AK24" s="38">
        <v>0</v>
      </c>
      <c r="AL24" s="44" t="s">
        <v>102</v>
      </c>
      <c r="AM24" s="44">
        <v>300</v>
      </c>
      <c r="AN24" s="46">
        <v>78</v>
      </c>
      <c r="AO24" s="46">
        <v>183</v>
      </c>
      <c r="AP24" s="46">
        <v>39</v>
      </c>
      <c r="AQ24" s="46">
        <v>0</v>
      </c>
      <c r="AR24" s="47" t="s">
        <v>204</v>
      </c>
      <c r="AS24" s="54" t="s">
        <v>205</v>
      </c>
      <c r="AT24" s="54" t="s">
        <v>206</v>
      </c>
      <c r="AU24" s="54" t="s">
        <v>207</v>
      </c>
    </row>
    <row r="25" ht="39" customHeight="1" spans="1:47">
      <c r="A25" s="38" t="s">
        <v>208</v>
      </c>
      <c r="B25" s="38" t="s">
        <v>99</v>
      </c>
      <c r="C25" s="38" t="s">
        <v>209</v>
      </c>
      <c r="D25" s="38" t="s">
        <v>192</v>
      </c>
      <c r="E25" s="39" t="s">
        <v>65</v>
      </c>
      <c r="F25" s="40" t="s">
        <v>55</v>
      </c>
      <c r="G25" s="40" t="s">
        <v>55</v>
      </c>
      <c r="H25" s="40" t="s">
        <v>55</v>
      </c>
      <c r="I25" s="41">
        <v>100</v>
      </c>
      <c r="J25" s="41">
        <v>138</v>
      </c>
      <c r="K25" s="41">
        <v>76</v>
      </c>
      <c r="L25" s="41">
        <v>108</v>
      </c>
      <c r="M25" s="41">
        <v>80</v>
      </c>
      <c r="N25" s="42"/>
      <c r="O25" s="42" t="s">
        <v>149</v>
      </c>
      <c r="P25" s="42"/>
      <c r="Q25" s="53">
        <v>6</v>
      </c>
      <c r="R25" s="18">
        <v>3</v>
      </c>
      <c r="S25" s="53">
        <v>0</v>
      </c>
      <c r="T25" s="18">
        <v>0</v>
      </c>
      <c r="U25" s="18">
        <v>8</v>
      </c>
      <c r="V25" s="44"/>
      <c r="W25" s="38">
        <v>5</v>
      </c>
      <c r="X25" s="38">
        <v>2</v>
      </c>
      <c r="Y25" s="38">
        <v>2</v>
      </c>
      <c r="Z25" s="38">
        <v>1</v>
      </c>
      <c r="AA25" s="38">
        <v>0</v>
      </c>
      <c r="AB25" s="45">
        <f>IFERROR(SUMIFS('top&amp;core医院客户DDD'!$R$4:$R$557,'top&amp;core医院客户DDD'!$A$4:$A$557,$A25,'top&amp;core医院客户DDD'!$F$4:$F$557,LEFT(AB$2,1))/SUMIFS('top&amp;core医院客户DDD'!$R$4:$R$557,'top&amp;core医院客户DDD'!$A$4:$A$557,$A25),"")</f>
        <v>0.8</v>
      </c>
      <c r="AC25" s="45">
        <f>IFERROR(SUMIFS('top&amp;core医院客户DDD'!$R$4:$R$557,'top&amp;core医院客户DDD'!$A$4:$A$557,$A25,'top&amp;core医院客户DDD'!$F$4:$F$557,LEFT(AC$2,1))/SUMIFS('top&amp;core医院客户DDD'!$R$4:$R$557,'top&amp;core医院客户DDD'!$A$4:$A$557,$A25),"")</f>
        <v>0.2</v>
      </c>
      <c r="AD25" s="45">
        <f>IFERROR(SUMIFS('top&amp;core医院客户DDD'!$R$4:$R$557,'top&amp;core医院客户DDD'!$A$4:$A$557,$A25,'top&amp;core医院客户DDD'!$F$4:$F$557,LEFT(AD$2,1))/SUMIFS('top&amp;core医院客户DDD'!$R$4:$R$557,'top&amp;core医院客户DDD'!$A$4:$A$557,$A25),"")</f>
        <v>0</v>
      </c>
      <c r="AE25" s="45">
        <f>IFERROR(SUMIFS('top&amp;core医院客户DDD'!$R$4:$R$557,'top&amp;core医院客户DDD'!$A$4:$A$557,$A25,'top&amp;core医院客户DDD'!$F$4:$F$557,LEFT(AE$2,1))/SUMIFS('top&amp;core医院客户DDD'!$R$4:$R$557,'top&amp;core医院客户DDD'!$A$4:$A$557,$A25),"")</f>
        <v>0</v>
      </c>
      <c r="AF25" s="38">
        <v>2</v>
      </c>
      <c r="AG25" s="38">
        <v>2</v>
      </c>
      <c r="AH25" s="38">
        <v>1</v>
      </c>
      <c r="AI25" s="38">
        <v>0</v>
      </c>
      <c r="AJ25" s="38">
        <v>0</v>
      </c>
      <c r="AK25" s="38">
        <v>0</v>
      </c>
      <c r="AL25" s="44" t="s">
        <v>102</v>
      </c>
      <c r="AM25" s="44">
        <v>256</v>
      </c>
      <c r="AN25" s="46">
        <v>108</v>
      </c>
      <c r="AO25" s="46">
        <v>68</v>
      </c>
      <c r="AP25" s="46">
        <v>80</v>
      </c>
      <c r="AQ25" s="46">
        <v>0</v>
      </c>
      <c r="AR25" s="47" t="s">
        <v>210</v>
      </c>
      <c r="AS25" s="54" t="s">
        <v>211</v>
      </c>
      <c r="AT25" s="54" t="s">
        <v>212</v>
      </c>
      <c r="AU25" s="54"/>
    </row>
    <row r="26" ht="39" customHeight="1" spans="1:47">
      <c r="A26" s="38" t="s">
        <v>213</v>
      </c>
      <c r="B26" s="38" t="s">
        <v>99</v>
      </c>
      <c r="C26" s="38" t="s">
        <v>134</v>
      </c>
      <c r="D26" s="38" t="s">
        <v>214</v>
      </c>
      <c r="E26" s="39" t="s">
        <v>65</v>
      </c>
      <c r="F26" s="40" t="s">
        <v>55</v>
      </c>
      <c r="G26" s="40" t="s">
        <v>55</v>
      </c>
      <c r="H26" s="40" t="s">
        <v>55</v>
      </c>
      <c r="I26" s="41">
        <v>188</v>
      </c>
      <c r="J26" s="41">
        <v>200</v>
      </c>
      <c r="K26" s="41">
        <v>84</v>
      </c>
      <c r="L26" s="41">
        <v>80</v>
      </c>
      <c r="M26" s="41">
        <v>164</v>
      </c>
      <c r="N26" s="42"/>
      <c r="O26" s="42" t="s">
        <v>149</v>
      </c>
      <c r="P26" s="42"/>
      <c r="Q26" s="43">
        <v>4</v>
      </c>
      <c r="R26" s="42">
        <v>2</v>
      </c>
      <c r="S26" s="43">
        <v>2</v>
      </c>
      <c r="T26" s="42">
        <v>7</v>
      </c>
      <c r="U26" s="42">
        <v>14</v>
      </c>
      <c r="V26" s="44">
        <v>5</v>
      </c>
      <c r="W26" s="38">
        <v>5</v>
      </c>
      <c r="X26" s="38">
        <v>2</v>
      </c>
      <c r="Y26" s="38">
        <v>2</v>
      </c>
      <c r="Z26" s="38">
        <v>1</v>
      </c>
      <c r="AA26" s="38">
        <v>0</v>
      </c>
      <c r="AB26" s="45">
        <v>0.47</v>
      </c>
      <c r="AC26" s="45">
        <v>0.21</v>
      </c>
      <c r="AD26" s="45">
        <v>0.32</v>
      </c>
      <c r="AE26" s="45">
        <f>IFERROR(SUMIFS('top&amp;core医院客户DDD'!$R$4:$R$557,'top&amp;core医院客户DDD'!$A$4:$A$557,$A26,'top&amp;core医院客户DDD'!$F$4:$F$557,LEFT(AE$2,1))/SUMIFS('top&amp;core医院客户DDD'!$R$4:$R$557,'top&amp;core医院客户DDD'!$A$4:$A$557,$A26),"")</f>
        <v>0</v>
      </c>
      <c r="AF26" s="38">
        <v>3</v>
      </c>
      <c r="AG26" s="38">
        <v>1</v>
      </c>
      <c r="AH26" s="38">
        <v>1</v>
      </c>
      <c r="AI26" s="38">
        <v>0</v>
      </c>
      <c r="AJ26" s="38">
        <v>0</v>
      </c>
      <c r="AK26" s="38">
        <v>0</v>
      </c>
      <c r="AL26" s="44" t="s">
        <v>102</v>
      </c>
      <c r="AM26" s="44">
        <v>280</v>
      </c>
      <c r="AN26" s="46">
        <v>132</v>
      </c>
      <c r="AO26" s="46">
        <v>60</v>
      </c>
      <c r="AP26" s="46">
        <v>88</v>
      </c>
      <c r="AQ26" s="46"/>
      <c r="AR26" s="47" t="s">
        <v>215</v>
      </c>
      <c r="AS26" s="48" t="s">
        <v>216</v>
      </c>
      <c r="AT26" s="48" t="s">
        <v>217</v>
      </c>
      <c r="AU26" s="48" t="s">
        <v>218</v>
      </c>
    </row>
    <row r="27" ht="39" customHeight="1" spans="1:47">
      <c r="A27" s="38" t="s">
        <v>219</v>
      </c>
      <c r="B27" s="18" t="s">
        <v>220</v>
      </c>
      <c r="C27" s="18" t="s">
        <v>52</v>
      </c>
      <c r="D27" s="18" t="s">
        <v>175</v>
      </c>
      <c r="E27" s="55" t="s">
        <v>221</v>
      </c>
      <c r="F27" s="40" t="s">
        <v>55</v>
      </c>
      <c r="G27" s="40" t="s">
        <v>55</v>
      </c>
      <c r="H27" s="40" t="s">
        <v>55</v>
      </c>
      <c r="I27" s="18">
        <v>180</v>
      </c>
      <c r="J27" s="18">
        <v>200</v>
      </c>
      <c r="K27" s="18">
        <v>144</v>
      </c>
      <c r="L27" s="18">
        <v>128</v>
      </c>
      <c r="M27" s="18">
        <v>136</v>
      </c>
      <c r="N27" s="55"/>
      <c r="O27" s="42" t="s">
        <v>149</v>
      </c>
      <c r="P27" s="55"/>
      <c r="Q27" s="18">
        <v>2</v>
      </c>
      <c r="R27" s="18">
        <v>2</v>
      </c>
      <c r="S27" s="18">
        <v>15</v>
      </c>
      <c r="T27" s="18">
        <v>5</v>
      </c>
      <c r="U27" s="18">
        <v>11</v>
      </c>
      <c r="V27" s="55">
        <v>7</v>
      </c>
      <c r="W27" s="18">
        <v>5</v>
      </c>
      <c r="X27" s="18">
        <v>2</v>
      </c>
      <c r="Y27" s="18">
        <v>4</v>
      </c>
      <c r="Z27" s="18">
        <v>5</v>
      </c>
      <c r="AA27" s="18">
        <v>0</v>
      </c>
      <c r="AB27" s="56">
        <f>IFERROR(SUMIFS('top&amp;core医院客户DDD'!$R$4:$R$554,'top&amp;core医院客户DDD'!$A$4:$A$554,$A27,'top&amp;core医院客户DDD'!$F$4:$F$554,LEFT(AB$2,1))/SUMIFS('top&amp;core医院客户DDD'!$R$4:$R$554,'top&amp;core医院客户DDD'!$A$4:$A$554,$A27),"")</f>
        <v>0.735294117647059</v>
      </c>
      <c r="AC27" s="56">
        <f>IFERROR(SUMIFS('top&amp;core医院客户DDD'!$R$4:$R$554,'top&amp;core医院客户DDD'!$A$4:$A$554,$A27,'top&amp;core医院客户DDD'!$F$4:$F$554,LEFT(AC$2,1))/SUMIFS('top&amp;core医院客户DDD'!$R$4:$R$554,'top&amp;core医院客户DDD'!$A$4:$A$554,$A27),"")</f>
        <v>0.0882352941176471</v>
      </c>
      <c r="AD27" s="56">
        <f>IFERROR(SUMIFS('top&amp;core医院客户DDD'!$R$4:$R$554,'top&amp;core医院客户DDD'!$A$4:$A$554,$A27,'top&amp;core医院客户DDD'!$F$4:$F$554,LEFT(AD$2,1))/SUMIFS('top&amp;core医院客户DDD'!$R$4:$R$554,'top&amp;core医院客户DDD'!$A$4:$A$554,$A27),"")</f>
        <v>0.176470588235294</v>
      </c>
      <c r="AE27" s="56">
        <f>IFERROR(SUMIFS('top&amp;core医院客户DDD'!$R$4:$R$554,'top&amp;core医院客户DDD'!$A$4:$A$554,$A27,'top&amp;core医院客户DDD'!$F$4:$F$554,LEFT(AE$2,1))/SUMIFS('top&amp;core医院客户DDD'!$R$4:$R$554,'top&amp;core医院客户DDD'!$A$4:$A$554,$A27),"")</f>
        <v>0</v>
      </c>
      <c r="AF27" s="18">
        <v>4</v>
      </c>
      <c r="AG27" s="18">
        <v>0</v>
      </c>
      <c r="AH27" s="18">
        <v>1</v>
      </c>
      <c r="AI27" s="18">
        <v>0</v>
      </c>
      <c r="AJ27" s="18">
        <v>0</v>
      </c>
      <c r="AK27" s="18">
        <v>0</v>
      </c>
      <c r="AL27" s="44" t="s">
        <v>93</v>
      </c>
      <c r="AM27" s="44">
        <v>700</v>
      </c>
      <c r="AN27" s="46">
        <v>400</v>
      </c>
      <c r="AO27" s="46">
        <v>30</v>
      </c>
      <c r="AP27" s="46">
        <v>240</v>
      </c>
      <c r="AQ27" s="46">
        <v>30</v>
      </c>
      <c r="AR27" s="54" t="s">
        <v>222</v>
      </c>
      <c r="AS27" s="54" t="s">
        <v>223</v>
      </c>
      <c r="AT27" s="54"/>
      <c r="AU27" s="54" t="s">
        <v>224</v>
      </c>
    </row>
    <row r="28" ht="39" customHeight="1" spans="1:47">
      <c r="A28" s="38" t="s">
        <v>225</v>
      </c>
      <c r="B28" s="38" t="s">
        <v>99</v>
      </c>
      <c r="C28" s="38" t="s">
        <v>108</v>
      </c>
      <c r="D28" s="38" t="s">
        <v>226</v>
      </c>
      <c r="E28" s="39" t="s">
        <v>65</v>
      </c>
      <c r="F28" s="40" t="s">
        <v>55</v>
      </c>
      <c r="G28" s="40" t="s">
        <v>55</v>
      </c>
      <c r="H28" s="40" t="s">
        <v>55</v>
      </c>
      <c r="I28" s="41">
        <v>80</v>
      </c>
      <c r="J28" s="41">
        <v>128</v>
      </c>
      <c r="K28" s="41">
        <v>112</v>
      </c>
      <c r="L28" s="41">
        <v>120</v>
      </c>
      <c r="M28" s="41">
        <v>132</v>
      </c>
      <c r="N28" s="42"/>
      <c r="O28" s="42" t="s">
        <v>149</v>
      </c>
      <c r="P28" s="42"/>
      <c r="Q28" s="53">
        <v>2</v>
      </c>
      <c r="R28" s="18">
        <v>1</v>
      </c>
      <c r="S28" s="53">
        <v>2</v>
      </c>
      <c r="T28" s="18">
        <v>2</v>
      </c>
      <c r="U28" s="18">
        <v>4</v>
      </c>
      <c r="V28" s="44">
        <v>4</v>
      </c>
      <c r="W28" s="38">
        <v>2</v>
      </c>
      <c r="X28" s="38">
        <v>0</v>
      </c>
      <c r="Y28" s="38">
        <v>0</v>
      </c>
      <c r="Z28" s="38">
        <v>2</v>
      </c>
      <c r="AA28" s="38">
        <v>0</v>
      </c>
      <c r="AB28" s="45">
        <f>IFERROR(SUMIFS('top&amp;core医院客户DDD'!$R$4:$R$557,'top&amp;core医院客户DDD'!$A$4:$A$557,$A28,'top&amp;core医院客户DDD'!$F$4:$F$557,LEFT(AB$2,1))/SUMIFS('top&amp;core医院客户DDD'!$R$4:$R$557,'top&amp;core医院客户DDD'!$A$4:$A$557,$A28),"")</f>
        <v>0</v>
      </c>
      <c r="AC28" s="45">
        <f>IFERROR(SUMIFS('top&amp;core医院客户DDD'!$R$4:$R$557,'top&amp;core医院客户DDD'!$A$4:$A$557,$A28,'top&amp;core医院客户DDD'!$F$4:$F$557,LEFT(AC$2,1))/SUMIFS('top&amp;core医院客户DDD'!$R$4:$R$557,'top&amp;core医院客户DDD'!$A$4:$A$557,$A28),"")</f>
        <v>0</v>
      </c>
      <c r="AD28" s="45">
        <f>IFERROR(SUMIFS('top&amp;core医院客户DDD'!$R$4:$R$557,'top&amp;core医院客户DDD'!$A$4:$A$557,$A28,'top&amp;core医院客户DDD'!$F$4:$F$557,LEFT(AD$2,1))/SUMIFS('top&amp;core医院客户DDD'!$R$4:$R$557,'top&amp;core医院客户DDD'!$A$4:$A$557,$A28),"")</f>
        <v>1</v>
      </c>
      <c r="AE28" s="45">
        <f>IFERROR(SUMIFS('top&amp;core医院客户DDD'!$R$4:$R$557,'top&amp;core医院客户DDD'!$A$4:$A$557,$A28,'top&amp;core医院客户DDD'!$F$4:$F$557,LEFT(AE$2,1))/SUMIFS('top&amp;core医院客户DDD'!$R$4:$R$557,'top&amp;core医院客户DDD'!$A$4:$A$557,$A28),"")</f>
        <v>0</v>
      </c>
      <c r="AF28" s="38">
        <v>1</v>
      </c>
      <c r="AG28" s="38">
        <v>0</v>
      </c>
      <c r="AH28" s="38">
        <v>1</v>
      </c>
      <c r="AI28" s="38">
        <v>0</v>
      </c>
      <c r="AJ28" s="38">
        <v>0</v>
      </c>
      <c r="AK28" s="38">
        <v>0</v>
      </c>
      <c r="AL28" s="44" t="s">
        <v>102</v>
      </c>
      <c r="AM28" s="44">
        <v>260</v>
      </c>
      <c r="AN28" s="46">
        <v>26</v>
      </c>
      <c r="AO28" s="46">
        <v>13</v>
      </c>
      <c r="AP28" s="46">
        <v>208</v>
      </c>
      <c r="AQ28" s="46">
        <v>13</v>
      </c>
      <c r="AR28" s="47" t="s">
        <v>227</v>
      </c>
      <c r="AS28" s="54" t="s">
        <v>228</v>
      </c>
      <c r="AT28" s="54" t="s">
        <v>229</v>
      </c>
      <c r="AU28" s="54" t="s">
        <v>230</v>
      </c>
    </row>
    <row r="29" ht="39" customHeight="1" spans="1:47">
      <c r="A29" s="38" t="s">
        <v>231</v>
      </c>
      <c r="B29" s="38" t="s">
        <v>99</v>
      </c>
      <c r="C29" s="38" t="s">
        <v>108</v>
      </c>
      <c r="D29" s="38" t="s">
        <v>155</v>
      </c>
      <c r="E29" s="39" t="s">
        <v>156</v>
      </c>
      <c r="F29" s="40" t="s">
        <v>55</v>
      </c>
      <c r="G29" s="40" t="s">
        <v>55</v>
      </c>
      <c r="H29" s="40" t="s">
        <v>55</v>
      </c>
      <c r="I29" s="41">
        <v>81</v>
      </c>
      <c r="J29" s="41">
        <v>110</v>
      </c>
      <c r="K29" s="41">
        <v>93</v>
      </c>
      <c r="L29" s="41">
        <v>115</v>
      </c>
      <c r="M29" s="41">
        <v>81</v>
      </c>
      <c r="N29" s="42"/>
      <c r="O29" s="42" t="s">
        <v>149</v>
      </c>
      <c r="P29" s="42"/>
      <c r="Q29" s="43">
        <v>2</v>
      </c>
      <c r="R29" s="42">
        <v>2</v>
      </c>
      <c r="S29" s="43">
        <v>2</v>
      </c>
      <c r="T29" s="42">
        <v>1</v>
      </c>
      <c r="U29" s="42">
        <v>8</v>
      </c>
      <c r="V29" s="44">
        <v>10</v>
      </c>
      <c r="W29" s="38">
        <v>5</v>
      </c>
      <c r="X29" s="38">
        <v>2</v>
      </c>
      <c r="Y29" s="38">
        <v>2</v>
      </c>
      <c r="Z29" s="38">
        <v>1</v>
      </c>
      <c r="AA29" s="38">
        <v>0</v>
      </c>
      <c r="AB29" s="45">
        <f>IFERROR(SUMIFS('top&amp;core医院客户DDD'!$R$4:$R$557,'top&amp;core医院客户DDD'!$A$4:$A$557,$A29,'top&amp;core医院客户DDD'!$F$4:$F$557,LEFT(AB$2,1))/SUMIFS('top&amp;core医院客户DDD'!$R$4:$R$557,'top&amp;core医院客户DDD'!$A$4:$A$557,$A29),"")</f>
        <v>0.802469135802469</v>
      </c>
      <c r="AC29" s="45">
        <f>IFERROR(SUMIFS('top&amp;core医院客户DDD'!$R$4:$R$557,'top&amp;core医院客户DDD'!$A$4:$A$557,$A29,'top&amp;core医院客户DDD'!$F$4:$F$557,LEFT(AC$2,1))/SUMIFS('top&amp;core医院客户DDD'!$R$4:$R$557,'top&amp;core医院客户DDD'!$A$4:$A$557,$A29),"")</f>
        <v>0.160493827160494</v>
      </c>
      <c r="AD29" s="45">
        <f>IFERROR(SUMIFS('top&amp;core医院客户DDD'!$R$4:$R$557,'top&amp;core医院客户DDD'!$A$4:$A$557,$A29,'top&amp;core医院客户DDD'!$F$4:$F$557,LEFT(AD$2,1))/SUMIFS('top&amp;core医院客户DDD'!$R$4:$R$557,'top&amp;core医院客户DDD'!$A$4:$A$557,$A29),"")</f>
        <v>0.037037037037037</v>
      </c>
      <c r="AE29" s="45">
        <f>IFERROR(SUMIFS('top&amp;core医院客户DDD'!$R$4:$R$557,'top&amp;core医院客户DDD'!$A$4:$A$557,$A29,'top&amp;core医院客户DDD'!$F$4:$F$557,LEFT(AE$2,1))/SUMIFS('top&amp;core医院客户DDD'!$R$4:$R$557,'top&amp;core医院客户DDD'!$A$4:$A$557,$A29),"")</f>
        <v>0</v>
      </c>
      <c r="AF29" s="38">
        <v>4</v>
      </c>
      <c r="AG29" s="38">
        <v>1</v>
      </c>
      <c r="AH29" s="38">
        <v>0</v>
      </c>
      <c r="AI29" s="38">
        <v>0</v>
      </c>
      <c r="AJ29" s="38">
        <v>0</v>
      </c>
      <c r="AK29" s="38">
        <v>0</v>
      </c>
      <c r="AL29" s="44" t="s">
        <v>102</v>
      </c>
      <c r="AM29" s="44">
        <v>200</v>
      </c>
      <c r="AN29" s="46">
        <v>120</v>
      </c>
      <c r="AO29" s="46">
        <v>20</v>
      </c>
      <c r="AP29" s="46">
        <v>60</v>
      </c>
      <c r="AQ29" s="46">
        <v>0</v>
      </c>
      <c r="AR29" s="47" t="s">
        <v>232</v>
      </c>
      <c r="AS29" s="48" t="s">
        <v>233</v>
      </c>
      <c r="AT29" s="48" t="s">
        <v>234</v>
      </c>
      <c r="AU29" s="48" t="s">
        <v>235</v>
      </c>
    </row>
    <row r="30" ht="39" customHeight="1" spans="1:47">
      <c r="A30" s="51" t="s">
        <v>236</v>
      </c>
      <c r="B30" s="38" t="s">
        <v>99</v>
      </c>
      <c r="C30" s="38" t="s">
        <v>81</v>
      </c>
      <c r="D30" s="38" t="s">
        <v>237</v>
      </c>
      <c r="E30" s="39" t="s">
        <v>65</v>
      </c>
      <c r="F30" s="40" t="s">
        <v>55</v>
      </c>
      <c r="G30" s="40" t="s">
        <v>55</v>
      </c>
      <c r="H30" s="40" t="s">
        <v>55</v>
      </c>
      <c r="I30" s="41">
        <v>168</v>
      </c>
      <c r="J30" s="41">
        <v>52</v>
      </c>
      <c r="K30" s="41">
        <v>68</v>
      </c>
      <c r="L30" s="41">
        <v>84</v>
      </c>
      <c r="M30" s="41">
        <v>72</v>
      </c>
      <c r="N30" s="42"/>
      <c r="O30" s="42" t="s">
        <v>149</v>
      </c>
      <c r="P30" s="42"/>
      <c r="Q30" s="53">
        <v>0</v>
      </c>
      <c r="R30" s="18">
        <v>0</v>
      </c>
      <c r="S30" s="53">
        <v>0</v>
      </c>
      <c r="T30" s="18">
        <v>0</v>
      </c>
      <c r="U30" s="18">
        <v>1</v>
      </c>
      <c r="V30" s="44">
        <v>6</v>
      </c>
      <c r="W30" s="38">
        <v>6</v>
      </c>
      <c r="X30" s="38">
        <v>1</v>
      </c>
      <c r="Y30" s="38">
        <v>0</v>
      </c>
      <c r="Z30" s="38">
        <v>0</v>
      </c>
      <c r="AA30" s="38">
        <v>5</v>
      </c>
      <c r="AB30" s="45">
        <v>0.05</v>
      </c>
      <c r="AC30" s="45">
        <f>IFERROR(SUMIFS('top&amp;core医院客户DDD'!$R$4:$R$557,'top&amp;core医院客户DDD'!$A$4:$A$557,$A30,'top&amp;core医院客户DDD'!$F$4:$F$557,LEFT(AC$2,1))/SUMIFS('top&amp;core医院客户DDD'!$R$4:$R$557,'top&amp;core医院客户DDD'!$A$4:$A$557,$A30),"")</f>
        <v>0</v>
      </c>
      <c r="AD30" s="45">
        <f>IFERROR(SUMIFS('top&amp;core医院客户DDD'!$R$4:$R$557,'top&amp;core医院客户DDD'!$A$4:$A$557,$A30,'top&amp;core医院客户DDD'!$F$4:$F$557,LEFT(AD$2,1))/SUMIFS('top&amp;core医院客户DDD'!$R$4:$R$557,'top&amp;core医院客户DDD'!$A$4:$A$557,$A30),"")</f>
        <v>0</v>
      </c>
      <c r="AE30" s="45">
        <v>0.95</v>
      </c>
      <c r="AF30" s="38">
        <v>1</v>
      </c>
      <c r="AG30" s="38">
        <v>2</v>
      </c>
      <c r="AH30" s="38">
        <v>0</v>
      </c>
      <c r="AI30" s="38">
        <v>0</v>
      </c>
      <c r="AJ30" s="38">
        <v>0</v>
      </c>
      <c r="AK30" s="38">
        <v>0</v>
      </c>
      <c r="AL30" s="44" t="s">
        <v>102</v>
      </c>
      <c r="AM30" s="44">
        <v>363</v>
      </c>
      <c r="AN30" s="46">
        <v>23</v>
      </c>
      <c r="AO30" s="46">
        <v>0</v>
      </c>
      <c r="AP30" s="46">
        <v>0</v>
      </c>
      <c r="AQ30" s="46">
        <v>340</v>
      </c>
      <c r="AR30" s="47" t="s">
        <v>238</v>
      </c>
      <c r="AS30" s="54" t="s">
        <v>239</v>
      </c>
      <c r="AT30" s="54" t="s">
        <v>240</v>
      </c>
      <c r="AU30" s="54" t="s">
        <v>241</v>
      </c>
    </row>
    <row r="31" ht="39" customHeight="1" spans="1:47">
      <c r="A31" s="51" t="s">
        <v>242</v>
      </c>
      <c r="B31" s="38" t="s">
        <v>99</v>
      </c>
      <c r="C31" s="38" t="s">
        <v>100</v>
      </c>
      <c r="D31" s="38" t="s">
        <v>101</v>
      </c>
      <c r="E31" s="39" t="s">
        <v>243</v>
      </c>
      <c r="F31" s="40" t="s">
        <v>55</v>
      </c>
      <c r="G31" s="40" t="s">
        <v>55</v>
      </c>
      <c r="H31" s="40" t="s">
        <v>55</v>
      </c>
      <c r="I31" s="41">
        <v>60</v>
      </c>
      <c r="J31" s="41">
        <v>80</v>
      </c>
      <c r="K31" s="41">
        <v>48</v>
      </c>
      <c r="L31" s="41">
        <v>48</v>
      </c>
      <c r="M31" s="41">
        <v>68</v>
      </c>
      <c r="N31" s="42"/>
      <c r="O31" s="42" t="s">
        <v>149</v>
      </c>
      <c r="P31" s="42"/>
      <c r="Q31" s="53">
        <v>3.25</v>
      </c>
      <c r="R31" s="18">
        <v>4</v>
      </c>
      <c r="S31" s="53">
        <v>0</v>
      </c>
      <c r="T31" s="18">
        <v>0</v>
      </c>
      <c r="U31" s="18">
        <v>0</v>
      </c>
      <c r="V31" s="44">
        <v>6</v>
      </c>
      <c r="W31" s="38">
        <v>2</v>
      </c>
      <c r="X31" s="38">
        <v>0</v>
      </c>
      <c r="Y31" s="38">
        <v>0</v>
      </c>
      <c r="Z31" s="38">
        <v>0</v>
      </c>
      <c r="AA31" s="38">
        <v>2</v>
      </c>
      <c r="AB31" s="45">
        <f>IFERROR(SUMIFS('top&amp;core医院客户DDD'!$R$4:$R$557,'top&amp;core医院客户DDD'!$A$4:$A$557,$A31,'top&amp;core医院客户DDD'!$F$4:$F$557,LEFT(AB$2,1))/SUMIFS('top&amp;core医院客户DDD'!$R$4:$R$557,'top&amp;core医院客户DDD'!$A$4:$A$557,$A31),"")</f>
        <v>0</v>
      </c>
      <c r="AC31" s="45">
        <f>IFERROR(SUMIFS('top&amp;core医院客户DDD'!$R$4:$R$557,'top&amp;core医院客户DDD'!$A$4:$A$557,$A31,'top&amp;core医院客户DDD'!$F$4:$F$557,LEFT(AC$2,1))/SUMIFS('top&amp;core医院客户DDD'!$R$4:$R$557,'top&amp;core医院客户DDD'!$A$4:$A$557,$A31),"")</f>
        <v>0</v>
      </c>
      <c r="AD31" s="45">
        <f>IFERROR(SUMIFS('top&amp;core医院客户DDD'!$R$4:$R$557,'top&amp;core医院客户DDD'!$A$4:$A$557,$A31,'top&amp;core医院客户DDD'!$F$4:$F$557,LEFT(AD$2,1))/SUMIFS('top&amp;core医院客户DDD'!$R$4:$R$557,'top&amp;core医院客户DDD'!$A$4:$A$557,$A31),"")</f>
        <v>0</v>
      </c>
      <c r="AE31" s="45">
        <f>IFERROR(SUMIFS('top&amp;core医院客户DDD'!$R$4:$R$557,'top&amp;core医院客户DDD'!$A$4:$A$557,$A31,'top&amp;core医院客户DDD'!$F$4:$F$557,LEFT(AE$2,1))/SUMIFS('top&amp;core医院客户DDD'!$R$4:$R$557,'top&amp;core医院客户DDD'!$A$4:$A$557,$A31),"")</f>
        <v>1</v>
      </c>
      <c r="AF31" s="38">
        <v>1</v>
      </c>
      <c r="AG31" s="38">
        <v>1</v>
      </c>
      <c r="AH31" s="38">
        <v>0</v>
      </c>
      <c r="AI31" s="38">
        <v>0</v>
      </c>
      <c r="AJ31" s="38">
        <v>0</v>
      </c>
      <c r="AK31" s="38">
        <v>0</v>
      </c>
      <c r="AL31" s="44" t="s">
        <v>102</v>
      </c>
      <c r="AM31" s="44">
        <v>300</v>
      </c>
      <c r="AN31" s="46">
        <v>0</v>
      </c>
      <c r="AO31" s="46">
        <v>0</v>
      </c>
      <c r="AP31" s="46">
        <v>0</v>
      </c>
      <c r="AQ31" s="46">
        <v>300</v>
      </c>
      <c r="AR31" s="47" t="s">
        <v>244</v>
      </c>
      <c r="AS31" s="54" t="s">
        <v>245</v>
      </c>
      <c r="AT31" s="54" t="s">
        <v>246</v>
      </c>
      <c r="AU31" s="54" t="s">
        <v>247</v>
      </c>
    </row>
    <row r="32" ht="39" customHeight="1" spans="1:47">
      <c r="A32" s="38" t="s">
        <v>248</v>
      </c>
      <c r="B32" s="38" t="s">
        <v>99</v>
      </c>
      <c r="C32" s="38" t="s">
        <v>81</v>
      </c>
      <c r="D32" s="38" t="s">
        <v>192</v>
      </c>
      <c r="E32" s="39" t="s">
        <v>128</v>
      </c>
      <c r="F32" s="40" t="s">
        <v>55</v>
      </c>
      <c r="G32" s="40"/>
      <c r="H32" s="40"/>
      <c r="I32" s="41">
        <v>312</v>
      </c>
      <c r="J32" s="41">
        <v>416</v>
      </c>
      <c r="K32" s="41">
        <v>268</v>
      </c>
      <c r="L32" s="41">
        <v>104</v>
      </c>
      <c r="M32" s="41">
        <v>16</v>
      </c>
      <c r="N32" s="42"/>
      <c r="O32" s="42" t="s">
        <v>149</v>
      </c>
      <c r="P32" s="42"/>
      <c r="Q32" s="53">
        <v>1</v>
      </c>
      <c r="R32" s="18">
        <v>3</v>
      </c>
      <c r="S32" s="53">
        <v>1</v>
      </c>
      <c r="T32" s="18">
        <v>2</v>
      </c>
      <c r="U32" s="18">
        <v>15</v>
      </c>
      <c r="V32" s="44"/>
      <c r="W32" s="38">
        <v>2</v>
      </c>
      <c r="X32" s="38">
        <v>1</v>
      </c>
      <c r="Y32" s="38">
        <v>1</v>
      </c>
      <c r="Z32" s="38">
        <v>0</v>
      </c>
      <c r="AA32" s="38">
        <v>0</v>
      </c>
      <c r="AB32" s="45" t="str">
        <f>IFERROR(SUMIFS(#REF!,#REF!,$A32,#REF!,LEFT(AB$2,1))/SUMIFS(#REF!,#REF!,$A32),"")</f>
        <v/>
      </c>
      <c r="AC32" s="45" t="str">
        <f>IFERROR(SUMIFS(#REF!,#REF!,$A32,#REF!,LEFT(AC$2,1))/SUMIFS(#REF!,#REF!,$A32),"")</f>
        <v/>
      </c>
      <c r="AD32" s="45" t="str">
        <f>IFERROR(SUMIFS(#REF!,#REF!,$A32,#REF!,LEFT(AD$2,1))/SUMIFS(#REF!,#REF!,$A32),"")</f>
        <v/>
      </c>
      <c r="AE32" s="45" t="str">
        <f>IFERROR(SUMIFS(#REF!,#REF!,$A32,#REF!,LEFT(AE$2,1))/SUMIFS(#REF!,#REF!,$A32),"")</f>
        <v/>
      </c>
      <c r="AF32" s="38">
        <v>2</v>
      </c>
      <c r="AG32" s="38">
        <v>0</v>
      </c>
      <c r="AH32" s="38">
        <v>0</v>
      </c>
      <c r="AI32" s="38">
        <v>0</v>
      </c>
      <c r="AJ32" s="38">
        <v>0</v>
      </c>
      <c r="AK32" s="38">
        <v>0</v>
      </c>
      <c r="AL32" s="44"/>
      <c r="AM32" s="44"/>
      <c r="AN32" s="57"/>
      <c r="AO32" s="57"/>
      <c r="AP32" s="57"/>
      <c r="AQ32" s="57"/>
      <c r="AR32" s="47"/>
    </row>
    <row r="33" ht="39" customHeight="1" spans="1:1">
      <c r="A33" s="51"/>
    </row>
    <row r="34" ht="39" customHeight="1" spans="1:1">
      <c r="A34" s="58"/>
    </row>
  </sheetData>
  <autoFilter xmlns:etc="http://www.wps.cn/officeDocument/2017/etCustomData" ref="A2:AU32" etc:filterBottomFollowUsedRange="0">
    <extLst/>
  </autoFilter>
  <mergeCells count="28">
    <mergeCell ref="F1:H1"/>
    <mergeCell ref="Q1:U1"/>
    <mergeCell ref="AM1:AU1"/>
    <mergeCell ref="F3:H3"/>
    <mergeCell ref="F4:H4"/>
    <mergeCell ref="F8:H8"/>
    <mergeCell ref="F9:H9"/>
    <mergeCell ref="F10:H10"/>
    <mergeCell ref="F11:H11"/>
    <mergeCell ref="F12:H12"/>
    <mergeCell ref="F14:H14"/>
    <mergeCell ref="F15:H15"/>
    <mergeCell ref="F16:H16"/>
    <mergeCell ref="F17:H17"/>
    <mergeCell ref="F18:H18"/>
    <mergeCell ref="F20:H20"/>
    <mergeCell ref="F21:H21"/>
    <mergeCell ref="F22:H22"/>
    <mergeCell ref="F23:H23"/>
    <mergeCell ref="F24:H24"/>
    <mergeCell ref="F25:H25"/>
    <mergeCell ref="F26:H26"/>
    <mergeCell ref="F27:H27"/>
    <mergeCell ref="F28:H28"/>
    <mergeCell ref="F29:H29"/>
    <mergeCell ref="F30:H30"/>
    <mergeCell ref="F31:H31"/>
    <mergeCell ref="F32:H32"/>
  </mergeCells>
  <dataValidations count="4">
    <dataValidation showInputMessage="1" showErrorMessage="1" promptTitle="相加为100%" sqref="AN3:AQ3"/>
    <dataValidation allowBlank="1" showInputMessage="1" showErrorMessage="1" sqref="N$1:N$1048576 F$1:H$1048576"/>
    <dataValidation type="list" allowBlank="1" showInputMessage="1" showErrorMessage="1" sqref="O$1:O$1048576">
      <formula1>"2000+,1500+,1000+,800+,500+,300+,低于300"</formula1>
    </dataValidation>
    <dataValidation type="list" allowBlank="1" showInputMessage="1" showErrorMessage="1" sqref="AL$1:AL$1048576">
      <formula1>"2000+,1500+,1000+,800+,500+,300+"</formula1>
    </dataValidation>
  </dataValidations>
  <pageMargins left="0.7" right="0.7" top="0.75" bottom="0.75" header="0.3" footer="0.3"/>
  <headerFooter/>
  <ignoredErrors>
    <ignoredError sqref="A1:AU31 A32:E32 G32:AU32 A33:AU34" listDataValidation="1"/>
  </ignoredErrors>
  <extLst>
    <ext xmlns:x14="http://schemas.microsoft.com/office/spreadsheetml/2009/9/main" uri="{05C60535-1F16-4fd2-B633-F4F36F0B64E0}">
      <x14:sparklineGroups xmlns:xm="http://schemas.microsoft.com/office/excel/2006/main">
        <x14:sparklineGroup type="line" displayEmptyCellsAs="gap" high="1" low="1">
          <x14:colorSeries rgb="FF376092"/>
          <x14:colorNegative rgb="FFD00000"/>
          <x14:colorAxis rgb="FF000000"/>
          <x14:colorMarkers rgb="FFD00000"/>
          <x14:colorFirst rgb="FFD00000"/>
          <x14:colorLast rgb="FFD00000"/>
          <x14:colorHigh rgb="FFD00000"/>
          <x14:colorLow rgb="FFD00000"/>
          <x14:sparklines>
            <x14:sparkline>
              <xm:f>'top&amp;core医院DDD'!I3:M3</xm:f>
              <xm:sqref>P3</xm:sqref>
            </x14:sparkline>
            <x14:sparkline>
              <xm:f>'top&amp;core医院DDD'!I4:M4</xm:f>
              <xm:sqref>P4</xm:sqref>
            </x14:sparkline>
            <x14:sparkline>
              <xm:f>'top&amp;core医院DDD'!I5:M5</xm:f>
              <xm:sqref>P5</xm:sqref>
            </x14:sparkline>
            <x14:sparkline>
              <xm:f>'top&amp;core医院DDD'!I6:M6</xm:f>
              <xm:sqref>P6</xm:sqref>
            </x14:sparkline>
            <x14:sparkline>
              <xm:f>'top&amp;core医院DDD'!I7:M7</xm:f>
              <xm:sqref>P7</xm:sqref>
            </x14:sparkline>
            <x14:sparkline>
              <xm:f>'top&amp;core医院DDD'!I8:M8</xm:f>
              <xm:sqref>P8</xm:sqref>
            </x14:sparkline>
            <x14:sparkline>
              <xm:f>'top&amp;core医院DDD'!I9:M9</xm:f>
              <xm:sqref>P9</xm:sqref>
            </x14:sparkline>
            <x14:sparkline>
              <xm:f>'top&amp;core医院DDD'!I10:M10</xm:f>
              <xm:sqref>P10</xm:sqref>
            </x14:sparkline>
            <x14:sparkline>
              <xm:f>'top&amp;core医院DDD'!I11:M11</xm:f>
              <xm:sqref>P11</xm:sqref>
            </x14:sparkline>
            <x14:sparkline>
              <xm:f>'top&amp;core医院DDD'!I12:M12</xm:f>
              <xm:sqref>P12</xm:sqref>
            </x14:sparkline>
            <x14:sparkline>
              <xm:f>'top&amp;core医院DDD'!I13:M13</xm:f>
              <xm:sqref>P13</xm:sqref>
            </x14:sparkline>
            <x14:sparkline>
              <xm:f>'top&amp;core医院DDD'!I14:M14</xm:f>
              <xm:sqref>P14</xm:sqref>
            </x14:sparkline>
            <x14:sparkline>
              <xm:f>'top&amp;core医院DDD'!I15:M15</xm:f>
              <xm:sqref>P15</xm:sqref>
            </x14:sparkline>
            <x14:sparkline>
              <xm:f>'top&amp;core医院DDD'!I16:M16</xm:f>
              <xm:sqref>P16</xm:sqref>
            </x14:sparkline>
            <x14:sparkline>
              <xm:f>'top&amp;core医院DDD'!I17:M17</xm:f>
              <xm:sqref>P17</xm:sqref>
            </x14:sparkline>
            <x14:sparkline>
              <xm:f>'top&amp;core医院DDD'!I18:M18</xm:f>
              <xm:sqref>P18</xm:sqref>
            </x14:sparkline>
            <x14:sparkline>
              <xm:f>'top&amp;core医院DDD'!I19:M19</xm:f>
              <xm:sqref>P19</xm:sqref>
            </x14:sparkline>
            <x14:sparkline>
              <xm:f>'top&amp;core医院DDD'!I20:M20</xm:f>
              <xm:sqref>P20</xm:sqref>
            </x14:sparkline>
            <x14:sparkline>
              <xm:f>'top&amp;core医院DDD'!I21:M21</xm:f>
              <xm:sqref>P21</xm:sqref>
            </x14:sparkline>
            <x14:sparkline>
              <xm:f>'top&amp;core医院DDD'!I22:M22</xm:f>
              <xm:sqref>P22</xm:sqref>
            </x14:sparkline>
            <x14:sparkline>
              <xm:f>'top&amp;core医院DDD'!I23:M23</xm:f>
              <xm:sqref>P23</xm:sqref>
            </x14:sparkline>
            <x14:sparkline>
              <xm:f>'top&amp;core医院DDD'!I24:M24</xm:f>
              <xm:sqref>P24</xm:sqref>
            </x14:sparkline>
            <x14:sparkline>
              <xm:f>'top&amp;core医院DDD'!I25:M25</xm:f>
              <xm:sqref>P25</xm:sqref>
            </x14:sparkline>
            <x14:sparkline>
              <xm:f>'top&amp;core医院DDD'!I26:M26</xm:f>
              <xm:sqref>P26</xm:sqref>
            </x14:sparkline>
            <x14:sparkline>
              <xm:f>'top&amp;core医院DDD'!I27:M27</xm:f>
              <xm:sqref>P27</xm:sqref>
            </x14:sparkline>
            <x14:sparkline>
              <xm:f>'top&amp;core医院DDD'!I28:M28</xm:f>
              <xm:sqref>P28</xm:sqref>
            </x14:sparkline>
            <x14:sparkline>
              <xm:f>'top&amp;core医院DDD'!I29:M29</xm:f>
              <xm:sqref>P29</xm:sqref>
            </x14:sparkline>
            <x14:sparkline>
              <xm:f>'top&amp;core医院DDD'!I30:M30</xm:f>
              <xm:sqref>P30</xm:sqref>
            </x14:sparkline>
            <x14:sparkline>
              <xm:f>'top&amp;core医院DDD'!I31:M31</xm:f>
              <xm:sqref>P31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'top&amp;core医院DDD'!I32:N32</xm:f>
              <xm:sqref>P32</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542"/>
  <sheetViews>
    <sheetView showGridLines="0" tabSelected="1" workbookViewId="0">
      <selection activeCell="E11" sqref="E11"/>
    </sheetView>
  </sheetViews>
  <sheetFormatPr defaultColWidth="9.23076923076923" defaultRowHeight="16.8"/>
  <cols>
    <col min="1" max="1" width="24" customWidth="1"/>
    <col min="2" max="2" width="10" customWidth="1"/>
    <col min="3" max="6" width="12" customWidth="1"/>
    <col min="7" max="8" width="10" customWidth="1"/>
    <col min="9" max="9" width="26" customWidth="1"/>
    <col min="10" max="10" width="14" customWidth="1"/>
    <col min="11" max="13" width="12" customWidth="1"/>
    <col min="14" max="18" width="14" customWidth="1"/>
    <col min="19" max="19" width="15.0769230769231" customWidth="1"/>
    <col min="20" max="20" width="20.8269230769231" customWidth="1"/>
    <col min="21" max="22" width="40" customWidth="1"/>
    <col min="23" max="23" width="22.3076923076923" customWidth="1"/>
    <col min="24" max="24" width="60.6153846153846" customWidth="1"/>
    <col min="25" max="25" width="20.7788461538462" customWidth="1"/>
    <col min="26" max="26" width="18" customWidth="1"/>
  </cols>
  <sheetData>
    <row r="1" spans="1:26">
      <c r="X1" s="1" t="s">
        <v>2</v>
      </c>
      <c r="Y1" s="1"/>
      <c r="Z1" s="1"/>
    </row>
    <row r="2" ht="16.5" customHeight="1" spans="1:26">
      <c r="X2" s="2" t="s">
        <v>249</v>
      </c>
      <c r="Y2" s="2"/>
      <c r="Z2" s="2"/>
    </row>
    <row r="3" ht="45" customHeight="1" spans="1:26">
      <c r="A3" s="3" t="s">
        <v>3</v>
      </c>
      <c r="B3" s="3" t="s">
        <v>4</v>
      </c>
      <c r="C3" s="4" t="s">
        <v>250</v>
      </c>
      <c r="D3" s="4" t="s">
        <v>251</v>
      </c>
      <c r="E3" s="4" t="s">
        <v>252</v>
      </c>
      <c r="F3" s="4" t="s">
        <v>253</v>
      </c>
      <c r="G3" s="4" t="s">
        <v>254</v>
      </c>
      <c r="H3" s="4" t="s">
        <v>255</v>
      </c>
      <c r="I3" s="4" t="s">
        <v>256</v>
      </c>
      <c r="J3" s="4" t="s">
        <v>257</v>
      </c>
      <c r="K3" s="4" t="s">
        <v>258</v>
      </c>
      <c r="L3" s="4" t="s">
        <v>259</v>
      </c>
      <c r="M3" s="4" t="s">
        <v>260</v>
      </c>
      <c r="N3" s="5" t="s">
        <v>11</v>
      </c>
      <c r="O3" s="5" t="s">
        <v>12</v>
      </c>
      <c r="P3" s="5" t="s">
        <v>13</v>
      </c>
      <c r="Q3" s="5" t="s">
        <v>14</v>
      </c>
      <c r="R3" s="5" t="s">
        <v>15</v>
      </c>
      <c r="S3" s="5" t="s">
        <v>16</v>
      </c>
      <c r="T3" s="5" t="s">
        <v>18</v>
      </c>
      <c r="U3" s="6" t="s">
        <v>261</v>
      </c>
      <c r="V3" s="6" t="s">
        <v>262</v>
      </c>
      <c r="W3" s="7" t="s">
        <v>263</v>
      </c>
      <c r="X3" s="7" t="s">
        <v>264</v>
      </c>
      <c r="Y3" s="7" t="s">
        <v>265</v>
      </c>
      <c r="Z3" s="7" t="s">
        <v>49</v>
      </c>
    </row>
    <row r="4" ht="49.5" customHeight="1" spans="1:26">
      <c r="A4" s="8" t="s">
        <v>213</v>
      </c>
      <c r="B4" s="8" t="s">
        <v>99</v>
      </c>
      <c r="C4" s="8" t="s">
        <v>266</v>
      </c>
      <c r="D4" s="8" t="s">
        <v>267</v>
      </c>
      <c r="E4" s="8" t="s">
        <v>268</v>
      </c>
      <c r="F4" s="8" t="s">
        <v>269</v>
      </c>
      <c r="G4" s="8" t="s">
        <v>90</v>
      </c>
      <c r="H4" s="8" t="s">
        <v>90</v>
      </c>
      <c r="I4" s="8" t="s">
        <v>90</v>
      </c>
      <c r="J4" s="8" t="s">
        <v>270</v>
      </c>
      <c r="K4" s="8">
        <v>12</v>
      </c>
      <c r="L4" s="8">
        <v>0</v>
      </c>
      <c r="M4" s="8">
        <v>12</v>
      </c>
      <c r="N4" s="9">
        <v>132</v>
      </c>
      <c r="O4" s="9">
        <v>116</v>
      </c>
      <c r="P4" s="9">
        <v>40</v>
      </c>
      <c r="Q4" s="9">
        <v>48</v>
      </c>
      <c r="R4" s="9">
        <v>120</v>
      </c>
      <c r="S4" s="9"/>
      <c r="T4" s="8"/>
      <c r="U4" s="8" t="s">
        <v>271</v>
      </c>
      <c r="V4" s="8" t="s">
        <v>272</v>
      </c>
      <c r="W4" s="10">
        <v>120</v>
      </c>
      <c r="X4" s="11" t="s">
        <v>273</v>
      </c>
      <c r="Y4" s="11" t="s">
        <v>274</v>
      </c>
      <c r="Z4" s="11" t="s">
        <v>275</v>
      </c>
    </row>
    <row r="5" ht="66" customHeight="1" spans="1:26">
      <c r="A5" s="8" t="s">
        <v>213</v>
      </c>
      <c r="B5" s="8" t="s">
        <v>99</v>
      </c>
      <c r="C5" s="8" t="s">
        <v>276</v>
      </c>
      <c r="D5" s="8" t="s">
        <v>267</v>
      </c>
      <c r="E5" s="8" t="s">
        <v>277</v>
      </c>
      <c r="F5" s="8" t="s">
        <v>278</v>
      </c>
      <c r="G5" s="8" t="s">
        <v>90</v>
      </c>
      <c r="H5" s="8" t="s">
        <v>90</v>
      </c>
      <c r="I5" s="8" t="s">
        <v>73</v>
      </c>
      <c r="J5" s="8" t="s">
        <v>279</v>
      </c>
      <c r="K5" s="8">
        <v>0</v>
      </c>
      <c r="L5" s="8">
        <v>16</v>
      </c>
      <c r="M5" s="8">
        <v>16</v>
      </c>
      <c r="N5" s="9">
        <v>24</v>
      </c>
      <c r="O5" s="9">
        <v>40</v>
      </c>
      <c r="P5" s="9">
        <v>16</v>
      </c>
      <c r="Q5" s="9">
        <v>20</v>
      </c>
      <c r="R5" s="9">
        <v>32</v>
      </c>
      <c r="S5" s="9"/>
      <c r="T5" s="8"/>
      <c r="U5" s="8" t="s">
        <v>280</v>
      </c>
      <c r="V5" s="8" t="s">
        <v>271</v>
      </c>
      <c r="W5" s="10">
        <v>40</v>
      </c>
      <c r="X5" s="11" t="s">
        <v>281</v>
      </c>
      <c r="Y5" s="11" t="s">
        <v>282</v>
      </c>
      <c r="Z5" s="11" t="s">
        <v>283</v>
      </c>
    </row>
    <row r="6" ht="33" customHeight="1" spans="1:26">
      <c r="A6" s="8" t="s">
        <v>213</v>
      </c>
      <c r="B6" s="8" t="s">
        <v>99</v>
      </c>
      <c r="C6" s="8" t="s">
        <v>284</v>
      </c>
      <c r="D6" s="8" t="s">
        <v>285</v>
      </c>
      <c r="E6" s="8" t="s">
        <v>286</v>
      </c>
      <c r="F6" s="8" t="s">
        <v>287</v>
      </c>
      <c r="G6" s="8" t="s">
        <v>90</v>
      </c>
      <c r="H6" s="8" t="s">
        <v>90</v>
      </c>
      <c r="I6" s="8" t="s">
        <v>90</v>
      </c>
      <c r="J6" s="8" t="s">
        <v>279</v>
      </c>
      <c r="K6" s="8">
        <v>0</v>
      </c>
      <c r="L6" s="8">
        <v>20</v>
      </c>
      <c r="M6" s="8">
        <v>20</v>
      </c>
      <c r="N6" s="9">
        <v>20</v>
      </c>
      <c r="O6" s="9">
        <v>32</v>
      </c>
      <c r="P6" s="9">
        <v>20</v>
      </c>
      <c r="Q6" s="9">
        <v>12</v>
      </c>
      <c r="R6" s="9">
        <v>4</v>
      </c>
      <c r="S6" s="9"/>
      <c r="T6" s="8"/>
      <c r="U6" s="8" t="s">
        <v>288</v>
      </c>
      <c r="V6" s="8" t="s">
        <v>280</v>
      </c>
      <c r="W6" s="10">
        <v>40</v>
      </c>
      <c r="X6" s="11" t="s">
        <v>289</v>
      </c>
      <c r="Y6" s="11" t="s">
        <v>290</v>
      </c>
      <c r="Z6" s="11" t="s">
        <v>291</v>
      </c>
    </row>
    <row r="7" ht="49.5" customHeight="1" spans="1:26">
      <c r="A7" s="8" t="s">
        <v>213</v>
      </c>
      <c r="B7" s="8" t="s">
        <v>99</v>
      </c>
      <c r="C7" s="8" t="s">
        <v>292</v>
      </c>
      <c r="D7" s="8" t="s">
        <v>267</v>
      </c>
      <c r="E7" s="8" t="s">
        <v>286</v>
      </c>
      <c r="F7" s="8" t="s">
        <v>287</v>
      </c>
      <c r="G7" s="8" t="s">
        <v>90</v>
      </c>
      <c r="H7" s="8" t="s">
        <v>90</v>
      </c>
      <c r="I7" s="8" t="s">
        <v>90</v>
      </c>
      <c r="J7" s="8" t="s">
        <v>293</v>
      </c>
      <c r="K7" s="8">
        <v>4</v>
      </c>
      <c r="L7" s="8">
        <v>8</v>
      </c>
      <c r="M7" s="8">
        <v>12</v>
      </c>
      <c r="N7" s="9">
        <v>0</v>
      </c>
      <c r="O7" s="9">
        <v>0</v>
      </c>
      <c r="P7" s="9">
        <v>0</v>
      </c>
      <c r="Q7" s="9">
        <v>0</v>
      </c>
      <c r="R7" s="9">
        <v>4</v>
      </c>
      <c r="S7" s="9"/>
      <c r="T7" s="8"/>
      <c r="U7" s="8" t="s">
        <v>288</v>
      </c>
      <c r="V7" s="8" t="s">
        <v>280</v>
      </c>
      <c r="W7" s="10">
        <v>20</v>
      </c>
      <c r="X7" s="11" t="s">
        <v>294</v>
      </c>
      <c r="Y7" s="11"/>
      <c r="Z7" s="11" t="s">
        <v>295</v>
      </c>
    </row>
    <row r="8" ht="33" customHeight="1" spans="1:26">
      <c r="A8" s="8" t="s">
        <v>213</v>
      </c>
      <c r="B8" s="8" t="s">
        <v>99</v>
      </c>
      <c r="C8" s="8" t="s">
        <v>296</v>
      </c>
      <c r="D8" s="8" t="s">
        <v>267</v>
      </c>
      <c r="E8" s="8" t="s">
        <v>268</v>
      </c>
      <c r="F8" s="8" t="s">
        <v>269</v>
      </c>
      <c r="G8" s="8" t="s">
        <v>90</v>
      </c>
      <c r="H8" s="8" t="s">
        <v>90</v>
      </c>
      <c r="I8" s="8" t="s">
        <v>90</v>
      </c>
      <c r="J8" s="8" t="s">
        <v>270</v>
      </c>
      <c r="K8" s="8">
        <v>4</v>
      </c>
      <c r="L8" s="8">
        <v>0</v>
      </c>
      <c r="M8" s="8">
        <v>4</v>
      </c>
      <c r="N8" s="9">
        <v>8</v>
      </c>
      <c r="O8" s="9">
        <v>0</v>
      </c>
      <c r="P8" s="9">
        <v>0</v>
      </c>
      <c r="Q8" s="9">
        <v>0</v>
      </c>
      <c r="R8" s="9">
        <v>4</v>
      </c>
      <c r="S8" s="9"/>
      <c r="T8" s="8"/>
      <c r="U8" s="8" t="s">
        <v>288</v>
      </c>
      <c r="V8" s="8" t="s">
        <v>280</v>
      </c>
      <c r="W8" s="10">
        <v>12</v>
      </c>
      <c r="X8" s="11" t="s">
        <v>297</v>
      </c>
      <c r="Y8" s="11" t="s">
        <v>298</v>
      </c>
      <c r="Z8" s="11" t="s">
        <v>299</v>
      </c>
    </row>
    <row r="9" ht="33" customHeight="1" spans="1:26">
      <c r="A9" s="8" t="s">
        <v>213</v>
      </c>
      <c r="B9" s="8" t="s">
        <v>99</v>
      </c>
      <c r="C9" s="8" t="s">
        <v>300</v>
      </c>
      <c r="D9" s="8" t="s">
        <v>285</v>
      </c>
      <c r="E9" s="8" t="s">
        <v>286</v>
      </c>
      <c r="F9" s="8" t="s">
        <v>287</v>
      </c>
      <c r="G9" s="8" t="s">
        <v>90</v>
      </c>
      <c r="H9" s="8" t="s">
        <v>90</v>
      </c>
      <c r="I9" s="8" t="s">
        <v>90</v>
      </c>
      <c r="J9" s="8" t="s">
        <v>279</v>
      </c>
      <c r="K9" s="8">
        <v>0</v>
      </c>
      <c r="L9" s="8">
        <v>4</v>
      </c>
      <c r="M9" s="8">
        <v>4</v>
      </c>
      <c r="N9" s="9">
        <v>0</v>
      </c>
      <c r="O9" s="9">
        <v>0</v>
      </c>
      <c r="P9" s="9">
        <v>0</v>
      </c>
      <c r="Q9" s="9">
        <v>0</v>
      </c>
      <c r="R9" s="9">
        <v>0</v>
      </c>
      <c r="S9" s="9"/>
      <c r="T9" s="8"/>
      <c r="U9" s="8" t="s">
        <v>301</v>
      </c>
      <c r="V9" s="8" t="s">
        <v>280</v>
      </c>
      <c r="W9" s="10">
        <v>12</v>
      </c>
      <c r="X9" s="11" t="s">
        <v>302</v>
      </c>
      <c r="Y9" s="11" t="s">
        <v>303</v>
      </c>
      <c r="Z9" s="11" t="s">
        <v>304</v>
      </c>
    </row>
    <row r="10" ht="49.5" customHeight="1" spans="1:26">
      <c r="A10" s="8" t="s">
        <v>213</v>
      </c>
      <c r="B10" s="8" t="s">
        <v>99</v>
      </c>
      <c r="C10" s="8" t="s">
        <v>305</v>
      </c>
      <c r="D10" s="8" t="s">
        <v>285</v>
      </c>
      <c r="E10" s="8" t="s">
        <v>286</v>
      </c>
      <c r="F10" s="8" t="s">
        <v>287</v>
      </c>
      <c r="G10" s="8" t="s">
        <v>90</v>
      </c>
      <c r="H10" s="8" t="s">
        <v>90</v>
      </c>
      <c r="I10" s="8" t="s">
        <v>90</v>
      </c>
      <c r="J10" s="8" t="s">
        <v>279</v>
      </c>
      <c r="K10" s="8">
        <v>0</v>
      </c>
      <c r="L10" s="8">
        <v>16</v>
      </c>
      <c r="M10" s="8">
        <v>16</v>
      </c>
      <c r="N10" s="9">
        <v>0</v>
      </c>
      <c r="O10" s="9">
        <v>0</v>
      </c>
      <c r="P10" s="9">
        <v>0</v>
      </c>
      <c r="Q10" s="9">
        <v>0</v>
      </c>
      <c r="R10" s="9">
        <v>0</v>
      </c>
      <c r="S10" s="9"/>
      <c r="T10" s="8"/>
      <c r="U10" s="8" t="s">
        <v>301</v>
      </c>
      <c r="V10" s="8" t="s">
        <v>288</v>
      </c>
      <c r="W10" s="10">
        <v>4</v>
      </c>
      <c r="X10" s="11" t="s">
        <v>306</v>
      </c>
      <c r="Y10" s="11" t="s">
        <v>307</v>
      </c>
      <c r="Z10" s="11" t="s">
        <v>308</v>
      </c>
    </row>
    <row r="11" ht="49.5" customHeight="1" spans="1:26">
      <c r="A11" s="8" t="s">
        <v>213</v>
      </c>
      <c r="B11" s="8" t="s">
        <v>99</v>
      </c>
      <c r="C11" s="8" t="s">
        <v>309</v>
      </c>
      <c r="D11" s="8" t="s">
        <v>267</v>
      </c>
      <c r="E11" s="8" t="s">
        <v>277</v>
      </c>
      <c r="F11" s="8" t="s">
        <v>278</v>
      </c>
      <c r="G11" s="8" t="s">
        <v>90</v>
      </c>
      <c r="H11" s="8" t="s">
        <v>90</v>
      </c>
      <c r="I11" s="8" t="s">
        <v>90</v>
      </c>
      <c r="J11" s="8" t="s">
        <v>279</v>
      </c>
      <c r="K11" s="8">
        <v>0</v>
      </c>
      <c r="L11" s="8">
        <v>20</v>
      </c>
      <c r="M11" s="8">
        <v>20</v>
      </c>
      <c r="N11" s="9">
        <v>0</v>
      </c>
      <c r="O11" s="9">
        <v>12</v>
      </c>
      <c r="P11" s="9">
        <v>0</v>
      </c>
      <c r="Q11" s="9">
        <v>0</v>
      </c>
      <c r="R11" s="9">
        <v>0</v>
      </c>
      <c r="S11" s="9"/>
      <c r="T11" s="8"/>
      <c r="U11" s="8" t="s">
        <v>301</v>
      </c>
      <c r="V11" s="8" t="s">
        <v>288</v>
      </c>
      <c r="W11" s="10">
        <v>4</v>
      </c>
      <c r="X11" s="11" t="s">
        <v>310</v>
      </c>
      <c r="Y11" s="11" t="s">
        <v>311</v>
      </c>
      <c r="Z11" s="11" t="s">
        <v>295</v>
      </c>
    </row>
    <row r="12" ht="49.5" customHeight="1" spans="1:26">
      <c r="A12" s="8" t="s">
        <v>213</v>
      </c>
      <c r="B12" s="8" t="s">
        <v>99</v>
      </c>
      <c r="C12" s="8" t="s">
        <v>312</v>
      </c>
      <c r="D12" s="8" t="s">
        <v>267</v>
      </c>
      <c r="E12" s="8" t="s">
        <v>277</v>
      </c>
      <c r="F12" s="8" t="s">
        <v>278</v>
      </c>
      <c r="G12" s="8" t="s">
        <v>90</v>
      </c>
      <c r="H12" s="8" t="s">
        <v>90</v>
      </c>
      <c r="I12" s="8" t="s">
        <v>90</v>
      </c>
      <c r="J12" s="8" t="s">
        <v>279</v>
      </c>
      <c r="K12" s="8">
        <v>0</v>
      </c>
      <c r="L12" s="8">
        <v>16</v>
      </c>
      <c r="M12" s="8">
        <v>16</v>
      </c>
      <c r="N12" s="9">
        <v>0</v>
      </c>
      <c r="O12" s="9">
        <v>0</v>
      </c>
      <c r="P12" s="9">
        <v>0</v>
      </c>
      <c r="Q12" s="9">
        <v>0</v>
      </c>
      <c r="R12" s="9">
        <v>0</v>
      </c>
      <c r="S12" s="9"/>
      <c r="T12" s="8"/>
      <c r="U12" s="8" t="s">
        <v>301</v>
      </c>
      <c r="V12" s="8" t="s">
        <v>288</v>
      </c>
      <c r="W12" s="10">
        <v>4</v>
      </c>
      <c r="X12" s="11" t="s">
        <v>313</v>
      </c>
      <c r="Y12" s="11" t="s">
        <v>314</v>
      </c>
      <c r="Z12" s="11" t="s">
        <v>315</v>
      </c>
    </row>
    <row r="13" ht="49.5" customHeight="1" spans="1:26">
      <c r="A13" s="8" t="s">
        <v>213</v>
      </c>
      <c r="B13" s="8" t="s">
        <v>99</v>
      </c>
      <c r="C13" s="8" t="s">
        <v>316</v>
      </c>
      <c r="D13" s="8" t="s">
        <v>267</v>
      </c>
      <c r="E13" s="8" t="s">
        <v>317</v>
      </c>
      <c r="F13" s="8" t="s">
        <v>278</v>
      </c>
      <c r="G13" s="8" t="s">
        <v>90</v>
      </c>
      <c r="H13" s="8" t="s">
        <v>73</v>
      </c>
      <c r="I13" s="8" t="s">
        <v>90</v>
      </c>
      <c r="J13" s="8" t="s">
        <v>279</v>
      </c>
      <c r="K13" s="8">
        <v>0</v>
      </c>
      <c r="L13" s="8">
        <v>12</v>
      </c>
      <c r="M13" s="8">
        <v>12</v>
      </c>
      <c r="N13" s="9">
        <v>0</v>
      </c>
      <c r="O13" s="9">
        <v>0</v>
      </c>
      <c r="P13" s="9">
        <v>0</v>
      </c>
      <c r="Q13" s="9">
        <v>0</v>
      </c>
      <c r="R13" s="9">
        <v>0</v>
      </c>
      <c r="S13" s="9"/>
      <c r="T13" s="8"/>
      <c r="U13" s="8" t="s">
        <v>301</v>
      </c>
      <c r="V13" s="8" t="s">
        <v>288</v>
      </c>
      <c r="W13" s="10">
        <v>4</v>
      </c>
      <c r="X13" s="11" t="s">
        <v>318</v>
      </c>
      <c r="Y13" s="11" t="s">
        <v>311</v>
      </c>
      <c r="Z13" s="11" t="s">
        <v>319</v>
      </c>
    </row>
    <row r="14" ht="66" customHeight="1" spans="1:26">
      <c r="A14" s="8" t="s">
        <v>213</v>
      </c>
      <c r="B14" s="8" t="s">
        <v>99</v>
      </c>
      <c r="C14" s="8" t="s">
        <v>320</v>
      </c>
      <c r="D14" s="8" t="s">
        <v>285</v>
      </c>
      <c r="E14" s="8" t="s">
        <v>286</v>
      </c>
      <c r="F14" s="8" t="s">
        <v>287</v>
      </c>
      <c r="G14" s="8" t="s">
        <v>90</v>
      </c>
      <c r="H14" s="8" t="s">
        <v>90</v>
      </c>
      <c r="I14" s="8" t="s">
        <v>90</v>
      </c>
      <c r="J14" s="8" t="s">
        <v>293</v>
      </c>
      <c r="K14" s="8">
        <v>4</v>
      </c>
      <c r="L14" s="8">
        <v>12</v>
      </c>
      <c r="M14" s="8">
        <v>16</v>
      </c>
      <c r="N14" s="9">
        <v>0</v>
      </c>
      <c r="O14" s="9">
        <v>0</v>
      </c>
      <c r="P14" s="9">
        <v>0</v>
      </c>
      <c r="Q14" s="9">
        <v>0</v>
      </c>
      <c r="R14" s="9">
        <v>0</v>
      </c>
      <c r="S14" s="9"/>
      <c r="T14" s="8"/>
      <c r="U14" s="8" t="s">
        <v>301</v>
      </c>
      <c r="V14" s="8" t="s">
        <v>288</v>
      </c>
      <c r="W14" s="10">
        <v>4</v>
      </c>
      <c r="X14" s="11" t="s">
        <v>321</v>
      </c>
      <c r="Y14" s="11" t="s">
        <v>322</v>
      </c>
      <c r="Z14" s="11" t="s">
        <v>323</v>
      </c>
    </row>
    <row r="15" ht="49.5" customHeight="1" spans="1:26">
      <c r="A15" s="8" t="s">
        <v>213</v>
      </c>
      <c r="B15" s="8" t="s">
        <v>99</v>
      </c>
      <c r="C15" s="8" t="s">
        <v>324</v>
      </c>
      <c r="D15" s="8" t="s">
        <v>285</v>
      </c>
      <c r="E15" s="8" t="s">
        <v>286</v>
      </c>
      <c r="F15" s="8" t="s">
        <v>287</v>
      </c>
      <c r="G15" s="8" t="s">
        <v>90</v>
      </c>
      <c r="H15" s="8" t="s">
        <v>73</v>
      </c>
      <c r="I15" s="8" t="s">
        <v>90</v>
      </c>
      <c r="J15" s="8" t="s">
        <v>279</v>
      </c>
      <c r="K15" s="8">
        <v>0</v>
      </c>
      <c r="L15" s="8">
        <v>12</v>
      </c>
      <c r="M15" s="8">
        <v>12</v>
      </c>
      <c r="N15" s="9">
        <v>0</v>
      </c>
      <c r="O15" s="9">
        <v>0</v>
      </c>
      <c r="P15" s="9">
        <v>0</v>
      </c>
      <c r="Q15" s="9">
        <v>0</v>
      </c>
      <c r="R15" s="9">
        <v>0</v>
      </c>
      <c r="S15" s="9"/>
      <c r="T15" s="8"/>
      <c r="U15" s="8" t="s">
        <v>301</v>
      </c>
      <c r="V15" s="8" t="s">
        <v>288</v>
      </c>
      <c r="W15" s="10">
        <v>4</v>
      </c>
      <c r="X15" s="11" t="s">
        <v>318</v>
      </c>
      <c r="Y15" s="11" t="s">
        <v>311</v>
      </c>
      <c r="Z15" s="11" t="s">
        <v>319</v>
      </c>
    </row>
    <row r="16" ht="49.5" customHeight="1" spans="1:26">
      <c r="A16" s="8" t="s">
        <v>213</v>
      </c>
      <c r="B16" s="8" t="s">
        <v>99</v>
      </c>
      <c r="C16" s="8" t="s">
        <v>325</v>
      </c>
      <c r="D16" s="8" t="s">
        <v>285</v>
      </c>
      <c r="E16" s="8" t="s">
        <v>286</v>
      </c>
      <c r="F16" s="8" t="s">
        <v>287</v>
      </c>
      <c r="G16" s="8" t="s">
        <v>90</v>
      </c>
      <c r="H16" s="8" t="s">
        <v>73</v>
      </c>
      <c r="I16" s="8" t="s">
        <v>90</v>
      </c>
      <c r="J16" s="8" t="s">
        <v>279</v>
      </c>
      <c r="K16" s="8">
        <v>0</v>
      </c>
      <c r="L16" s="8">
        <v>12</v>
      </c>
      <c r="M16" s="8">
        <v>12</v>
      </c>
      <c r="N16" s="9">
        <v>0</v>
      </c>
      <c r="O16" s="9">
        <v>0</v>
      </c>
      <c r="P16" s="9">
        <v>0</v>
      </c>
      <c r="Q16" s="9">
        <v>0</v>
      </c>
      <c r="R16" s="9">
        <v>0</v>
      </c>
      <c r="S16" s="9"/>
      <c r="T16" s="8"/>
      <c r="U16" s="8" t="s">
        <v>301</v>
      </c>
      <c r="V16" s="8" t="s">
        <v>288</v>
      </c>
      <c r="W16" s="10">
        <v>4</v>
      </c>
      <c r="X16" s="11" t="s">
        <v>326</v>
      </c>
      <c r="Y16" s="11" t="s">
        <v>327</v>
      </c>
      <c r="Z16" s="11" t="s">
        <v>328</v>
      </c>
    </row>
    <row r="17" ht="33" customHeight="1" spans="1:26">
      <c r="A17" s="8" t="s">
        <v>213</v>
      </c>
      <c r="B17" s="8" t="s">
        <v>99</v>
      </c>
      <c r="C17" s="8" t="s">
        <v>329</v>
      </c>
      <c r="D17" s="8" t="s">
        <v>267</v>
      </c>
      <c r="E17" s="8" t="s">
        <v>317</v>
      </c>
      <c r="F17" s="8" t="s">
        <v>278</v>
      </c>
      <c r="G17" s="8" t="s">
        <v>90</v>
      </c>
      <c r="H17" s="8" t="s">
        <v>73</v>
      </c>
      <c r="I17" s="8" t="s">
        <v>90</v>
      </c>
      <c r="J17" s="8" t="s">
        <v>279</v>
      </c>
      <c r="K17" s="8">
        <v>0</v>
      </c>
      <c r="L17" s="8">
        <v>12</v>
      </c>
      <c r="M17" s="8">
        <v>12</v>
      </c>
      <c r="N17" s="9">
        <v>0</v>
      </c>
      <c r="O17" s="9">
        <v>0</v>
      </c>
      <c r="P17" s="9">
        <v>0</v>
      </c>
      <c r="Q17" s="9">
        <v>0</v>
      </c>
      <c r="R17" s="9">
        <v>0</v>
      </c>
      <c r="S17" s="9"/>
      <c r="T17" s="8"/>
      <c r="U17" s="8" t="s">
        <v>301</v>
      </c>
      <c r="V17" s="8" t="s">
        <v>288</v>
      </c>
      <c r="W17" s="10">
        <v>4</v>
      </c>
      <c r="X17" s="11" t="s">
        <v>330</v>
      </c>
      <c r="Y17" s="11" t="s">
        <v>311</v>
      </c>
      <c r="Z17" s="11" t="s">
        <v>319</v>
      </c>
    </row>
    <row r="18" ht="16.5" customHeight="1" spans="1:26">
      <c r="A18" s="8" t="s">
        <v>213</v>
      </c>
      <c r="B18" s="8" t="s">
        <v>99</v>
      </c>
      <c r="C18" s="8" t="s">
        <v>331</v>
      </c>
      <c r="D18" s="8" t="s">
        <v>267</v>
      </c>
      <c r="E18" s="8" t="s">
        <v>277</v>
      </c>
      <c r="F18" s="8" t="s">
        <v>278</v>
      </c>
      <c r="G18" s="8" t="s">
        <v>90</v>
      </c>
      <c r="H18" s="8" t="s">
        <v>73</v>
      </c>
      <c r="I18" s="8" t="s">
        <v>90</v>
      </c>
      <c r="J18" s="8" t="s">
        <v>279</v>
      </c>
      <c r="K18" s="8">
        <v>0</v>
      </c>
      <c r="L18" s="8">
        <v>12</v>
      </c>
      <c r="M18" s="8">
        <v>12</v>
      </c>
      <c r="N18" s="9">
        <v>0</v>
      </c>
      <c r="O18" s="9">
        <v>0</v>
      </c>
      <c r="P18" s="9">
        <v>0</v>
      </c>
      <c r="Q18" s="9">
        <v>0</v>
      </c>
      <c r="R18" s="9">
        <v>0</v>
      </c>
      <c r="S18" s="9"/>
      <c r="T18" s="8"/>
      <c r="U18" s="8" t="s">
        <v>301</v>
      </c>
      <c r="V18" s="8" t="s">
        <v>288</v>
      </c>
      <c r="W18" s="10">
        <v>4</v>
      </c>
      <c r="X18" s="11" t="s">
        <v>332</v>
      </c>
      <c r="Y18" s="11" t="s">
        <v>333</v>
      </c>
      <c r="Z18" s="11" t="s">
        <v>334</v>
      </c>
    </row>
    <row r="19" ht="49.5" customHeight="1" spans="1:26">
      <c r="A19" s="12" t="s">
        <v>133</v>
      </c>
      <c r="B19" s="12" t="s">
        <v>51</v>
      </c>
      <c r="C19" s="12" t="s">
        <v>335</v>
      </c>
      <c r="D19" s="12" t="s">
        <v>336</v>
      </c>
      <c r="E19" s="12" t="s">
        <v>337</v>
      </c>
      <c r="F19" s="12" t="s">
        <v>338</v>
      </c>
      <c r="G19" s="12" t="s">
        <v>90</v>
      </c>
      <c r="H19" s="12" t="s">
        <v>73</v>
      </c>
      <c r="I19" s="12" t="s">
        <v>90</v>
      </c>
      <c r="J19" s="12" t="s">
        <v>279</v>
      </c>
      <c r="K19" s="12">
        <v>0</v>
      </c>
      <c r="L19" s="12">
        <v>2</v>
      </c>
      <c r="M19" s="12">
        <v>2</v>
      </c>
      <c r="N19" s="13">
        <v>0</v>
      </c>
      <c r="O19" s="13">
        <v>0</v>
      </c>
      <c r="P19" s="13">
        <v>0</v>
      </c>
      <c r="Q19" s="13">
        <v>20</v>
      </c>
      <c r="R19" s="13">
        <v>0</v>
      </c>
      <c r="S19" s="13"/>
      <c r="T19" s="12"/>
      <c r="U19" s="12" t="s">
        <v>301</v>
      </c>
      <c r="V19" s="12" t="s">
        <v>271</v>
      </c>
      <c r="W19" s="13">
        <v>12</v>
      </c>
      <c r="X19" s="14" t="s">
        <v>339</v>
      </c>
      <c r="Y19" s="14" t="s">
        <v>340</v>
      </c>
      <c r="Z19" s="14" t="s">
        <v>341</v>
      </c>
    </row>
    <row r="20" ht="66" customHeight="1" spans="1:26">
      <c r="A20" s="12" t="s">
        <v>133</v>
      </c>
      <c r="B20" s="12" t="s">
        <v>51</v>
      </c>
      <c r="C20" s="12" t="s">
        <v>342</v>
      </c>
      <c r="D20" s="12" t="s">
        <v>336</v>
      </c>
      <c r="E20" s="12" t="s">
        <v>337</v>
      </c>
      <c r="F20" s="12" t="s">
        <v>338</v>
      </c>
      <c r="G20" s="12" t="s">
        <v>90</v>
      </c>
      <c r="H20" s="12" t="s">
        <v>73</v>
      </c>
      <c r="I20" s="12" t="s">
        <v>90</v>
      </c>
      <c r="J20" s="12" t="s">
        <v>279</v>
      </c>
      <c r="K20" s="12">
        <v>0</v>
      </c>
      <c r="L20" s="12">
        <v>1</v>
      </c>
      <c r="M20" s="12">
        <v>1</v>
      </c>
      <c r="N20" s="13">
        <v>0</v>
      </c>
      <c r="O20" s="13">
        <v>4</v>
      </c>
      <c r="P20" s="13">
        <v>0</v>
      </c>
      <c r="Q20" s="13">
        <v>0</v>
      </c>
      <c r="R20" s="13">
        <v>0</v>
      </c>
      <c r="S20" s="13"/>
      <c r="T20" s="12"/>
      <c r="U20" s="12" t="s">
        <v>301</v>
      </c>
      <c r="V20" s="12" t="s">
        <v>288</v>
      </c>
      <c r="W20" s="13">
        <v>8</v>
      </c>
      <c r="X20" s="14" t="s">
        <v>343</v>
      </c>
      <c r="Y20" s="14" t="s">
        <v>344</v>
      </c>
      <c r="Z20" s="14" t="s">
        <v>345</v>
      </c>
    </row>
    <row r="21" ht="49.5" customHeight="1" spans="1:26">
      <c r="A21" s="8" t="s">
        <v>133</v>
      </c>
      <c r="B21" s="8" t="s">
        <v>51</v>
      </c>
      <c r="C21" s="8" t="s">
        <v>346</v>
      </c>
      <c r="D21" s="8" t="s">
        <v>267</v>
      </c>
      <c r="E21" s="8" t="s">
        <v>286</v>
      </c>
      <c r="F21" s="8" t="s">
        <v>287</v>
      </c>
      <c r="G21" s="8" t="s">
        <v>90</v>
      </c>
      <c r="H21" s="8" t="s">
        <v>90</v>
      </c>
      <c r="I21" s="8" t="s">
        <v>90</v>
      </c>
      <c r="J21" s="8" t="s">
        <v>347</v>
      </c>
      <c r="K21" s="8">
        <v>2</v>
      </c>
      <c r="L21" s="8">
        <v>2</v>
      </c>
      <c r="M21" s="8">
        <v>4</v>
      </c>
      <c r="N21" s="9">
        <v>136</v>
      </c>
      <c r="O21" s="9">
        <v>84</v>
      </c>
      <c r="P21" s="9">
        <v>32</v>
      </c>
      <c r="Q21" s="9">
        <v>92</v>
      </c>
      <c r="R21" s="9">
        <v>124</v>
      </c>
      <c r="S21" s="9"/>
      <c r="T21" s="8"/>
      <c r="U21" s="8" t="s">
        <v>271</v>
      </c>
      <c r="V21" s="8" t="s">
        <v>272</v>
      </c>
      <c r="W21" s="10">
        <v>160</v>
      </c>
      <c r="X21" s="11" t="s">
        <v>348</v>
      </c>
      <c r="Y21" s="11" t="s">
        <v>349</v>
      </c>
      <c r="Z21" s="11" t="s">
        <v>350</v>
      </c>
    </row>
    <row r="22" ht="49.5" customHeight="1" spans="1:26">
      <c r="A22" s="8" t="s">
        <v>133</v>
      </c>
      <c r="B22" s="8" t="s">
        <v>51</v>
      </c>
      <c r="C22" s="8" t="s">
        <v>351</v>
      </c>
      <c r="D22" s="8" t="s">
        <v>267</v>
      </c>
      <c r="E22" s="8" t="s">
        <v>268</v>
      </c>
      <c r="F22" s="8" t="s">
        <v>269</v>
      </c>
      <c r="G22" s="8" t="s">
        <v>90</v>
      </c>
      <c r="H22" s="8" t="s">
        <v>90</v>
      </c>
      <c r="I22" s="8" t="s">
        <v>90</v>
      </c>
      <c r="J22" s="8" t="s">
        <v>347</v>
      </c>
      <c r="K22" s="8">
        <v>1</v>
      </c>
      <c r="L22" s="8">
        <v>2</v>
      </c>
      <c r="M22" s="8">
        <v>3</v>
      </c>
      <c r="N22" s="9">
        <v>32</v>
      </c>
      <c r="O22" s="9">
        <v>40</v>
      </c>
      <c r="P22" s="9">
        <v>20</v>
      </c>
      <c r="Q22" s="9">
        <v>40</v>
      </c>
      <c r="R22" s="9">
        <v>84</v>
      </c>
      <c r="S22" s="9"/>
      <c r="T22" s="8"/>
      <c r="U22" s="8" t="s">
        <v>271</v>
      </c>
      <c r="V22" s="8" t="s">
        <v>271</v>
      </c>
      <c r="W22" s="10">
        <v>40</v>
      </c>
      <c r="X22" s="11" t="s">
        <v>352</v>
      </c>
      <c r="Y22" s="11" t="s">
        <v>353</v>
      </c>
      <c r="Z22" s="11" t="s">
        <v>354</v>
      </c>
    </row>
    <row r="23" ht="49.5" customHeight="1" spans="1:26">
      <c r="A23" s="8" t="s">
        <v>133</v>
      </c>
      <c r="B23" s="8" t="s">
        <v>51</v>
      </c>
      <c r="C23" s="8" t="s">
        <v>355</v>
      </c>
      <c r="D23" s="8" t="s">
        <v>267</v>
      </c>
      <c r="E23" s="8" t="s">
        <v>277</v>
      </c>
      <c r="F23" s="8" t="s">
        <v>278</v>
      </c>
      <c r="G23" s="8" t="s">
        <v>90</v>
      </c>
      <c r="H23" s="8" t="s">
        <v>90</v>
      </c>
      <c r="I23" s="8" t="s">
        <v>90</v>
      </c>
      <c r="J23" s="8" t="s">
        <v>279</v>
      </c>
      <c r="K23" s="8">
        <v>0</v>
      </c>
      <c r="L23" s="8">
        <v>3</v>
      </c>
      <c r="M23" s="8">
        <v>3</v>
      </c>
      <c r="N23" s="9">
        <v>20</v>
      </c>
      <c r="O23" s="9">
        <v>28</v>
      </c>
      <c r="P23" s="9">
        <v>92</v>
      </c>
      <c r="Q23" s="9">
        <v>68</v>
      </c>
      <c r="R23" s="9">
        <v>72</v>
      </c>
      <c r="S23" s="9"/>
      <c r="T23" s="8"/>
      <c r="U23" s="8" t="s">
        <v>271</v>
      </c>
      <c r="V23" s="8" t="s">
        <v>272</v>
      </c>
      <c r="W23" s="10">
        <v>80</v>
      </c>
      <c r="X23" s="11" t="s">
        <v>356</v>
      </c>
      <c r="Y23" s="11" t="s">
        <v>357</v>
      </c>
      <c r="Z23" s="11" t="s">
        <v>358</v>
      </c>
    </row>
    <row r="24" ht="33" customHeight="1" spans="1:26">
      <c r="A24" s="8" t="s">
        <v>133</v>
      </c>
      <c r="B24" s="8" t="s">
        <v>51</v>
      </c>
      <c r="C24" s="8" t="s">
        <v>359</v>
      </c>
      <c r="D24" s="8" t="s">
        <v>267</v>
      </c>
      <c r="E24" s="8" t="s">
        <v>277</v>
      </c>
      <c r="F24" s="8" t="s">
        <v>269</v>
      </c>
      <c r="G24" s="8" t="s">
        <v>90</v>
      </c>
      <c r="H24" s="8" t="s">
        <v>90</v>
      </c>
      <c r="I24" s="8" t="s">
        <v>90</v>
      </c>
      <c r="J24" s="8" t="s">
        <v>279</v>
      </c>
      <c r="K24" s="8">
        <v>0</v>
      </c>
      <c r="L24" s="8">
        <v>16</v>
      </c>
      <c r="M24" s="8">
        <v>16</v>
      </c>
      <c r="N24" s="9">
        <v>24</v>
      </c>
      <c r="O24" s="9">
        <v>16</v>
      </c>
      <c r="P24" s="9">
        <v>24</v>
      </c>
      <c r="Q24" s="9">
        <v>24</v>
      </c>
      <c r="R24" s="9">
        <v>28</v>
      </c>
      <c r="S24" s="9"/>
      <c r="T24" s="8"/>
      <c r="U24" s="8" t="s">
        <v>288</v>
      </c>
      <c r="V24" s="8" t="s">
        <v>272</v>
      </c>
      <c r="W24" s="10">
        <v>40</v>
      </c>
      <c r="X24" s="11" t="s">
        <v>360</v>
      </c>
      <c r="Y24" s="11" t="s">
        <v>361</v>
      </c>
      <c r="Z24" s="11" t="s">
        <v>362</v>
      </c>
    </row>
    <row r="25" ht="33" customHeight="1" spans="1:26">
      <c r="A25" s="8" t="s">
        <v>133</v>
      </c>
      <c r="B25" s="8" t="s">
        <v>51</v>
      </c>
      <c r="C25" s="8" t="s">
        <v>363</v>
      </c>
      <c r="D25" s="8" t="s">
        <v>267</v>
      </c>
      <c r="E25" s="8" t="s">
        <v>268</v>
      </c>
      <c r="F25" s="8" t="s">
        <v>269</v>
      </c>
      <c r="G25" s="8" t="s">
        <v>90</v>
      </c>
      <c r="H25" s="8" t="s">
        <v>90</v>
      </c>
      <c r="I25" s="8" t="s">
        <v>90</v>
      </c>
      <c r="J25" s="8" t="s">
        <v>347</v>
      </c>
      <c r="K25" s="8">
        <v>2</v>
      </c>
      <c r="L25" s="8">
        <v>2</v>
      </c>
      <c r="M25" s="8">
        <v>4</v>
      </c>
      <c r="N25" s="9">
        <v>40</v>
      </c>
      <c r="O25" s="9">
        <v>44</v>
      </c>
      <c r="P25" s="9">
        <v>40</v>
      </c>
      <c r="Q25" s="9">
        <v>44</v>
      </c>
      <c r="R25" s="9">
        <v>16</v>
      </c>
      <c r="S25" s="9"/>
      <c r="T25" s="8"/>
      <c r="U25" s="8" t="s">
        <v>288</v>
      </c>
      <c r="V25" s="8" t="s">
        <v>272</v>
      </c>
      <c r="W25" s="10">
        <v>40</v>
      </c>
      <c r="X25" s="11" t="s">
        <v>364</v>
      </c>
      <c r="Y25" s="11" t="s">
        <v>365</v>
      </c>
      <c r="Z25" s="11" t="s">
        <v>366</v>
      </c>
    </row>
    <row r="26" ht="49.5" customHeight="1" spans="1:26">
      <c r="A26" s="8" t="s">
        <v>133</v>
      </c>
      <c r="B26" s="8" t="s">
        <v>51</v>
      </c>
      <c r="C26" s="8" t="s">
        <v>367</v>
      </c>
      <c r="D26" s="8" t="s">
        <v>267</v>
      </c>
      <c r="E26" s="8" t="s">
        <v>277</v>
      </c>
      <c r="F26" s="8" t="s">
        <v>278</v>
      </c>
      <c r="G26" s="8" t="s">
        <v>90</v>
      </c>
      <c r="H26" s="8" t="s">
        <v>90</v>
      </c>
      <c r="I26" s="8" t="s">
        <v>73</v>
      </c>
      <c r="J26" s="8" t="s">
        <v>279</v>
      </c>
      <c r="K26" s="8">
        <v>0</v>
      </c>
      <c r="L26" s="8">
        <v>2</v>
      </c>
      <c r="M26" s="8">
        <v>2</v>
      </c>
      <c r="N26" s="9">
        <v>12</v>
      </c>
      <c r="O26" s="9">
        <v>24</v>
      </c>
      <c r="P26" s="9">
        <v>28</v>
      </c>
      <c r="Q26" s="9">
        <v>16</v>
      </c>
      <c r="R26" s="9">
        <v>12</v>
      </c>
      <c r="S26" s="9"/>
      <c r="T26" s="8"/>
      <c r="U26" s="8" t="s">
        <v>288</v>
      </c>
      <c r="V26" s="8" t="s">
        <v>271</v>
      </c>
      <c r="W26" s="10">
        <v>20</v>
      </c>
      <c r="X26" s="11" t="s">
        <v>368</v>
      </c>
      <c r="Y26" s="11" t="s">
        <v>369</v>
      </c>
      <c r="Z26" s="11" t="s">
        <v>370</v>
      </c>
    </row>
    <row r="27" ht="33" customHeight="1" spans="1:26">
      <c r="A27" s="8" t="s">
        <v>133</v>
      </c>
      <c r="B27" s="8" t="s">
        <v>51</v>
      </c>
      <c r="C27" s="8" t="s">
        <v>371</v>
      </c>
      <c r="D27" s="8" t="s">
        <v>267</v>
      </c>
      <c r="E27" s="8" t="s">
        <v>277</v>
      </c>
      <c r="F27" s="8" t="s">
        <v>278</v>
      </c>
      <c r="G27" s="8" t="s">
        <v>73</v>
      </c>
      <c r="H27" s="8" t="s">
        <v>73</v>
      </c>
      <c r="I27" s="8" t="s">
        <v>73</v>
      </c>
      <c r="J27" s="8" t="s">
        <v>279</v>
      </c>
      <c r="K27" s="8">
        <v>0</v>
      </c>
      <c r="L27" s="8">
        <v>3</v>
      </c>
      <c r="M27" s="8">
        <v>3</v>
      </c>
      <c r="N27" s="9">
        <v>0</v>
      </c>
      <c r="O27" s="9">
        <v>0</v>
      </c>
      <c r="P27" s="9">
        <v>0</v>
      </c>
      <c r="Q27" s="9">
        <v>0</v>
      </c>
      <c r="R27" s="9">
        <v>12</v>
      </c>
      <c r="S27" s="9"/>
      <c r="T27" s="8"/>
      <c r="U27" s="8" t="s">
        <v>288</v>
      </c>
      <c r="V27" s="8" t="s">
        <v>288</v>
      </c>
      <c r="W27" s="10">
        <v>12</v>
      </c>
      <c r="X27" s="11" t="s">
        <v>372</v>
      </c>
      <c r="Y27" s="11" t="s">
        <v>373</v>
      </c>
      <c r="Z27" s="11" t="s">
        <v>374</v>
      </c>
    </row>
    <row r="28" ht="49.5" customHeight="1" spans="1:26">
      <c r="A28" s="8" t="s">
        <v>133</v>
      </c>
      <c r="B28" s="8" t="s">
        <v>51</v>
      </c>
      <c r="C28" s="8" t="s">
        <v>375</v>
      </c>
      <c r="D28" s="8" t="s">
        <v>267</v>
      </c>
      <c r="E28" s="8" t="s">
        <v>277</v>
      </c>
      <c r="F28" s="8" t="s">
        <v>278</v>
      </c>
      <c r="G28" s="8" t="s">
        <v>90</v>
      </c>
      <c r="H28" s="8" t="s">
        <v>73</v>
      </c>
      <c r="I28" s="8" t="s">
        <v>90</v>
      </c>
      <c r="J28" s="8" t="s">
        <v>279</v>
      </c>
      <c r="K28" s="8">
        <v>0</v>
      </c>
      <c r="L28" s="8">
        <v>4</v>
      </c>
      <c r="M28" s="8">
        <v>4</v>
      </c>
      <c r="N28" s="9">
        <v>0</v>
      </c>
      <c r="O28" s="9">
        <v>0</v>
      </c>
      <c r="P28" s="9">
        <v>0</v>
      </c>
      <c r="Q28" s="9">
        <v>0</v>
      </c>
      <c r="R28" s="9">
        <v>8</v>
      </c>
      <c r="S28" s="9"/>
      <c r="T28" s="8"/>
      <c r="U28" s="8" t="s">
        <v>288</v>
      </c>
      <c r="V28" s="8" t="s">
        <v>271</v>
      </c>
      <c r="W28" s="10">
        <v>12</v>
      </c>
      <c r="X28" s="11" t="s">
        <v>376</v>
      </c>
      <c r="Y28" s="11" t="s">
        <v>377</v>
      </c>
      <c r="Z28" s="11" t="s">
        <v>378</v>
      </c>
    </row>
    <row r="29" ht="33" customHeight="1" spans="1:26">
      <c r="A29" s="8" t="s">
        <v>133</v>
      </c>
      <c r="B29" s="8" t="s">
        <v>51</v>
      </c>
      <c r="C29" s="8" t="s">
        <v>379</v>
      </c>
      <c r="D29" s="8" t="s">
        <v>267</v>
      </c>
      <c r="E29" s="8" t="s">
        <v>268</v>
      </c>
      <c r="F29" s="8" t="s">
        <v>269</v>
      </c>
      <c r="G29" s="8" t="s">
        <v>90</v>
      </c>
      <c r="H29" s="8" t="s">
        <v>90</v>
      </c>
      <c r="I29" s="8" t="s">
        <v>90</v>
      </c>
      <c r="J29" s="8" t="s">
        <v>270</v>
      </c>
      <c r="K29" s="8">
        <v>4</v>
      </c>
      <c r="L29" s="8">
        <v>4</v>
      </c>
      <c r="M29" s="8">
        <v>8</v>
      </c>
      <c r="N29" s="9">
        <v>12</v>
      </c>
      <c r="O29" s="9">
        <v>24</v>
      </c>
      <c r="P29" s="9">
        <v>16</v>
      </c>
      <c r="Q29" s="9">
        <v>12</v>
      </c>
      <c r="R29" s="9">
        <v>4</v>
      </c>
      <c r="S29" s="9"/>
      <c r="T29" s="8"/>
      <c r="U29" s="8" t="s">
        <v>288</v>
      </c>
      <c r="V29" s="8" t="s">
        <v>288</v>
      </c>
      <c r="W29" s="10">
        <v>20</v>
      </c>
      <c r="X29" s="11" t="s">
        <v>380</v>
      </c>
      <c r="Y29" s="11" t="s">
        <v>381</v>
      </c>
      <c r="Z29" s="11" t="s">
        <v>382</v>
      </c>
    </row>
    <row r="30" ht="49.5" customHeight="1" spans="1:26">
      <c r="A30" s="8" t="s">
        <v>133</v>
      </c>
      <c r="B30" s="8" t="s">
        <v>51</v>
      </c>
      <c r="C30" s="8" t="s">
        <v>383</v>
      </c>
      <c r="D30" s="8" t="s">
        <v>267</v>
      </c>
      <c r="E30" s="8" t="s">
        <v>384</v>
      </c>
      <c r="F30" s="8" t="s">
        <v>278</v>
      </c>
      <c r="G30" s="8" t="s">
        <v>73</v>
      </c>
      <c r="H30" s="8" t="s">
        <v>73</v>
      </c>
      <c r="I30" s="8" t="s">
        <v>90</v>
      </c>
      <c r="J30" s="8" t="s">
        <v>279</v>
      </c>
      <c r="K30" s="8">
        <v>0</v>
      </c>
      <c r="L30" s="8">
        <v>4</v>
      </c>
      <c r="M30" s="8">
        <v>4</v>
      </c>
      <c r="N30" s="9">
        <v>0</v>
      </c>
      <c r="O30" s="9">
        <v>0</v>
      </c>
      <c r="P30" s="9">
        <v>0</v>
      </c>
      <c r="Q30" s="9">
        <v>12</v>
      </c>
      <c r="R30" s="9">
        <v>4</v>
      </c>
      <c r="S30" s="9"/>
      <c r="T30" s="8"/>
      <c r="U30" s="8" t="s">
        <v>288</v>
      </c>
      <c r="V30" s="8" t="s">
        <v>288</v>
      </c>
      <c r="W30" s="10">
        <v>8</v>
      </c>
      <c r="X30" s="11" t="s">
        <v>385</v>
      </c>
      <c r="Y30" s="11" t="s">
        <v>386</v>
      </c>
      <c r="Z30" s="11" t="s">
        <v>387</v>
      </c>
    </row>
    <row r="31" ht="49.5" customHeight="1" spans="1:26">
      <c r="A31" s="8" t="s">
        <v>133</v>
      </c>
      <c r="B31" s="8" t="s">
        <v>51</v>
      </c>
      <c r="C31" s="8" t="s">
        <v>388</v>
      </c>
      <c r="D31" s="8" t="s">
        <v>285</v>
      </c>
      <c r="E31" s="8" t="s">
        <v>286</v>
      </c>
      <c r="F31" s="8" t="s">
        <v>287</v>
      </c>
      <c r="G31" s="8" t="s">
        <v>90</v>
      </c>
      <c r="H31" s="8" t="s">
        <v>90</v>
      </c>
      <c r="I31" s="8" t="s">
        <v>90</v>
      </c>
      <c r="J31" s="8" t="s">
        <v>279</v>
      </c>
      <c r="K31" s="8">
        <v>0</v>
      </c>
      <c r="L31" s="8">
        <v>2</v>
      </c>
      <c r="M31" s="8">
        <v>2</v>
      </c>
      <c r="N31" s="9">
        <v>0</v>
      </c>
      <c r="O31" s="9">
        <v>0</v>
      </c>
      <c r="P31" s="9">
        <v>0</v>
      </c>
      <c r="Q31" s="9">
        <v>0</v>
      </c>
      <c r="R31" s="9">
        <v>0</v>
      </c>
      <c r="S31" s="9"/>
      <c r="T31" s="8"/>
      <c r="U31" s="8" t="s">
        <v>301</v>
      </c>
      <c r="V31" s="8" t="s">
        <v>288</v>
      </c>
      <c r="W31" s="10">
        <v>12</v>
      </c>
      <c r="X31" s="11" t="s">
        <v>389</v>
      </c>
      <c r="Y31" s="11" t="s">
        <v>390</v>
      </c>
      <c r="Z31" s="11" t="s">
        <v>391</v>
      </c>
    </row>
    <row r="32" ht="33" customHeight="1" spans="1:26">
      <c r="A32" s="8" t="s">
        <v>133</v>
      </c>
      <c r="B32" s="8" t="s">
        <v>51</v>
      </c>
      <c r="C32" s="8" t="s">
        <v>392</v>
      </c>
      <c r="D32" s="8" t="s">
        <v>267</v>
      </c>
      <c r="E32" s="8" t="s">
        <v>277</v>
      </c>
      <c r="F32" s="8" t="s">
        <v>278</v>
      </c>
      <c r="G32" s="8" t="s">
        <v>90</v>
      </c>
      <c r="H32" s="8" t="s">
        <v>73</v>
      </c>
      <c r="I32" s="8" t="s">
        <v>73</v>
      </c>
      <c r="J32" s="8" t="s">
        <v>279</v>
      </c>
      <c r="K32" s="8">
        <v>0</v>
      </c>
      <c r="L32" s="8">
        <v>2</v>
      </c>
      <c r="M32" s="8">
        <v>2</v>
      </c>
      <c r="N32" s="9">
        <v>8</v>
      </c>
      <c r="O32" s="9">
        <v>0</v>
      </c>
      <c r="P32" s="9">
        <v>12</v>
      </c>
      <c r="Q32" s="9">
        <v>0</v>
      </c>
      <c r="R32" s="9">
        <v>0</v>
      </c>
      <c r="S32" s="9"/>
      <c r="T32" s="8"/>
      <c r="U32" s="8" t="s">
        <v>301</v>
      </c>
      <c r="V32" s="8" t="s">
        <v>288</v>
      </c>
      <c r="W32" s="10">
        <v>8</v>
      </c>
      <c r="X32" s="11" t="s">
        <v>393</v>
      </c>
      <c r="Y32" s="11" t="s">
        <v>394</v>
      </c>
      <c r="Z32" s="11" t="s">
        <v>395</v>
      </c>
    </row>
    <row r="33" ht="49.5" customHeight="1" spans="1:26">
      <c r="A33" s="8" t="s">
        <v>133</v>
      </c>
      <c r="B33" s="8" t="s">
        <v>51</v>
      </c>
      <c r="C33" s="8" t="s">
        <v>396</v>
      </c>
      <c r="D33" s="8" t="s">
        <v>267</v>
      </c>
      <c r="E33" s="8" t="s">
        <v>277</v>
      </c>
      <c r="F33" s="8" t="s">
        <v>278</v>
      </c>
      <c r="G33" s="8" t="s">
        <v>90</v>
      </c>
      <c r="H33" s="8" t="s">
        <v>73</v>
      </c>
      <c r="I33" s="8" t="s">
        <v>73</v>
      </c>
      <c r="J33" s="8" t="s">
        <v>279</v>
      </c>
      <c r="K33" s="8">
        <v>0</v>
      </c>
      <c r="L33" s="8">
        <v>3</v>
      </c>
      <c r="M33" s="8">
        <v>3</v>
      </c>
      <c r="N33" s="9">
        <v>0</v>
      </c>
      <c r="O33" s="9">
        <v>0</v>
      </c>
      <c r="P33" s="9">
        <v>0</v>
      </c>
      <c r="Q33" s="9">
        <v>4</v>
      </c>
      <c r="R33" s="9">
        <v>0</v>
      </c>
      <c r="S33" s="9"/>
      <c r="T33" s="8"/>
      <c r="U33" s="8" t="s">
        <v>301</v>
      </c>
      <c r="V33" s="8" t="s">
        <v>288</v>
      </c>
      <c r="W33" s="10">
        <v>8</v>
      </c>
      <c r="X33" s="11" t="s">
        <v>397</v>
      </c>
      <c r="Y33" s="11" t="s">
        <v>398</v>
      </c>
      <c r="Z33" s="11" t="s">
        <v>399</v>
      </c>
    </row>
    <row r="34" ht="33" customHeight="1" spans="1:26">
      <c r="A34" s="8" t="s">
        <v>133</v>
      </c>
      <c r="B34" s="8" t="s">
        <v>51</v>
      </c>
      <c r="C34" s="8" t="s">
        <v>400</v>
      </c>
      <c r="D34" s="8" t="s">
        <v>267</v>
      </c>
      <c r="E34" s="8" t="s">
        <v>277</v>
      </c>
      <c r="F34" s="8" t="s">
        <v>278</v>
      </c>
      <c r="G34" s="8" t="s">
        <v>90</v>
      </c>
      <c r="H34" s="8" t="s">
        <v>73</v>
      </c>
      <c r="I34" s="8" t="s">
        <v>90</v>
      </c>
      <c r="J34" s="8" t="s">
        <v>279</v>
      </c>
      <c r="K34" s="8">
        <v>0</v>
      </c>
      <c r="L34" s="8">
        <v>4</v>
      </c>
      <c r="M34" s="8">
        <v>4</v>
      </c>
      <c r="N34" s="9">
        <v>0</v>
      </c>
      <c r="O34" s="9">
        <v>0</v>
      </c>
      <c r="P34" s="9">
        <v>0</v>
      </c>
      <c r="Q34" s="9">
        <v>0</v>
      </c>
      <c r="R34" s="9">
        <v>0</v>
      </c>
      <c r="S34" s="9"/>
      <c r="T34" s="8"/>
      <c r="U34" s="8" t="s">
        <v>301</v>
      </c>
      <c r="V34" s="8" t="s">
        <v>288</v>
      </c>
      <c r="W34" s="10">
        <v>8</v>
      </c>
      <c r="X34" s="11" t="s">
        <v>401</v>
      </c>
      <c r="Y34" s="11" t="s">
        <v>402</v>
      </c>
      <c r="Z34" s="11" t="s">
        <v>403</v>
      </c>
    </row>
    <row r="35" ht="66" customHeight="1" spans="1:26">
      <c r="A35" s="8" t="s">
        <v>133</v>
      </c>
      <c r="B35" s="8" t="s">
        <v>51</v>
      </c>
      <c r="C35" s="8" t="s">
        <v>404</v>
      </c>
      <c r="D35" s="8" t="s">
        <v>267</v>
      </c>
      <c r="E35" s="8" t="s">
        <v>277</v>
      </c>
      <c r="F35" s="8" t="s">
        <v>278</v>
      </c>
      <c r="G35" s="8" t="s">
        <v>90</v>
      </c>
      <c r="H35" s="8" t="s">
        <v>73</v>
      </c>
      <c r="I35" s="8" t="s">
        <v>73</v>
      </c>
      <c r="J35" s="8" t="s">
        <v>279</v>
      </c>
      <c r="K35" s="8">
        <v>0</v>
      </c>
      <c r="L35" s="8">
        <v>2</v>
      </c>
      <c r="M35" s="8">
        <v>2</v>
      </c>
      <c r="N35" s="9">
        <v>0</v>
      </c>
      <c r="O35" s="9">
        <v>0</v>
      </c>
      <c r="P35" s="9">
        <v>0</v>
      </c>
      <c r="Q35" s="9">
        <v>0</v>
      </c>
      <c r="R35" s="9">
        <v>0</v>
      </c>
      <c r="S35" s="9"/>
      <c r="T35" s="8"/>
      <c r="U35" s="8" t="s">
        <v>301</v>
      </c>
      <c r="V35" s="8" t="s">
        <v>288</v>
      </c>
      <c r="W35" s="10">
        <v>8</v>
      </c>
      <c r="X35" s="11" t="s">
        <v>405</v>
      </c>
      <c r="Y35" s="11" t="s">
        <v>406</v>
      </c>
      <c r="Z35" s="11" t="s">
        <v>407</v>
      </c>
    </row>
    <row r="36" ht="66" customHeight="1" spans="1:26">
      <c r="A36" s="8" t="s">
        <v>133</v>
      </c>
      <c r="B36" s="8" t="s">
        <v>51</v>
      </c>
      <c r="C36" s="8" t="s">
        <v>408</v>
      </c>
      <c r="D36" s="8" t="s">
        <v>267</v>
      </c>
      <c r="E36" s="8" t="s">
        <v>384</v>
      </c>
      <c r="F36" s="8" t="s">
        <v>278</v>
      </c>
      <c r="G36" s="8" t="s">
        <v>90</v>
      </c>
      <c r="H36" s="8" t="s">
        <v>73</v>
      </c>
      <c r="I36" s="8" t="s">
        <v>90</v>
      </c>
      <c r="J36" s="8" t="s">
        <v>279</v>
      </c>
      <c r="K36" s="8">
        <v>0</v>
      </c>
      <c r="L36" s="8">
        <v>3</v>
      </c>
      <c r="M36" s="8">
        <v>3</v>
      </c>
      <c r="N36" s="9">
        <v>0</v>
      </c>
      <c r="O36" s="9">
        <v>0</v>
      </c>
      <c r="P36" s="9">
        <v>0</v>
      </c>
      <c r="Q36" s="9">
        <v>0</v>
      </c>
      <c r="R36" s="9">
        <v>0</v>
      </c>
      <c r="S36" s="9"/>
      <c r="T36" s="8"/>
      <c r="U36" s="8" t="s">
        <v>301</v>
      </c>
      <c r="V36" s="8" t="s">
        <v>288</v>
      </c>
      <c r="W36" s="10">
        <v>8</v>
      </c>
      <c r="X36" s="11" t="s">
        <v>409</v>
      </c>
      <c r="Y36" s="11" t="s">
        <v>410</v>
      </c>
      <c r="Z36" s="11" t="s">
        <v>407</v>
      </c>
    </row>
    <row r="37" ht="33" customHeight="1" spans="1:26">
      <c r="A37" s="8" t="s">
        <v>133</v>
      </c>
      <c r="B37" s="8" t="s">
        <v>51</v>
      </c>
      <c r="C37" s="8" t="s">
        <v>411</v>
      </c>
      <c r="D37" s="8" t="s">
        <v>267</v>
      </c>
      <c r="E37" s="8" t="s">
        <v>384</v>
      </c>
      <c r="F37" s="8" t="s">
        <v>278</v>
      </c>
      <c r="G37" s="8" t="s">
        <v>90</v>
      </c>
      <c r="H37" s="8" t="s">
        <v>73</v>
      </c>
      <c r="I37" s="8" t="s">
        <v>73</v>
      </c>
      <c r="J37" s="8" t="s">
        <v>279</v>
      </c>
      <c r="K37" s="8">
        <v>0</v>
      </c>
      <c r="L37" s="8">
        <v>1</v>
      </c>
      <c r="M37" s="8">
        <v>1</v>
      </c>
      <c r="N37" s="9">
        <v>0</v>
      </c>
      <c r="O37" s="9">
        <v>0</v>
      </c>
      <c r="P37" s="9">
        <v>0</v>
      </c>
      <c r="Q37" s="9">
        <v>0</v>
      </c>
      <c r="R37" s="9">
        <v>0</v>
      </c>
      <c r="S37" s="9"/>
      <c r="T37" s="8"/>
      <c r="U37" s="8" t="s">
        <v>301</v>
      </c>
      <c r="V37" s="8" t="s">
        <v>288</v>
      </c>
      <c r="W37" s="10">
        <v>8</v>
      </c>
      <c r="X37" s="11" t="s">
        <v>412</v>
      </c>
      <c r="Y37" s="11" t="s">
        <v>413</v>
      </c>
      <c r="Z37" s="11" t="s">
        <v>414</v>
      </c>
    </row>
    <row r="38" ht="33" customHeight="1" spans="1:26">
      <c r="A38" s="8" t="s">
        <v>133</v>
      </c>
      <c r="B38" s="8" t="s">
        <v>51</v>
      </c>
      <c r="C38" s="8" t="s">
        <v>415</v>
      </c>
      <c r="D38" s="8" t="s">
        <v>267</v>
      </c>
      <c r="E38" s="8" t="s">
        <v>277</v>
      </c>
      <c r="F38" s="8" t="s">
        <v>278</v>
      </c>
      <c r="G38" s="8" t="s">
        <v>90</v>
      </c>
      <c r="H38" s="8" t="s">
        <v>73</v>
      </c>
      <c r="I38" s="8" t="s">
        <v>73</v>
      </c>
      <c r="J38" s="8" t="s">
        <v>279</v>
      </c>
      <c r="K38" s="8">
        <v>0</v>
      </c>
      <c r="L38" s="8">
        <v>3</v>
      </c>
      <c r="M38" s="8">
        <v>3</v>
      </c>
      <c r="N38" s="9">
        <v>4</v>
      </c>
      <c r="O38" s="9">
        <v>0</v>
      </c>
      <c r="P38" s="9">
        <v>0</v>
      </c>
      <c r="Q38" s="9">
        <v>0</v>
      </c>
      <c r="R38" s="9">
        <v>0</v>
      </c>
      <c r="S38" s="9"/>
      <c r="T38" s="8"/>
      <c r="U38" s="8" t="s">
        <v>301</v>
      </c>
      <c r="V38" s="8" t="s">
        <v>288</v>
      </c>
      <c r="W38" s="10">
        <v>8</v>
      </c>
      <c r="X38" s="11" t="s">
        <v>416</v>
      </c>
      <c r="Y38" s="11" t="s">
        <v>417</v>
      </c>
      <c r="Z38" s="11" t="s">
        <v>418</v>
      </c>
    </row>
    <row r="39" ht="33" customHeight="1" spans="1:26">
      <c r="A39" s="8" t="s">
        <v>133</v>
      </c>
      <c r="B39" s="8" t="s">
        <v>51</v>
      </c>
      <c r="C39" s="8" t="s">
        <v>419</v>
      </c>
      <c r="D39" s="8" t="s">
        <v>285</v>
      </c>
      <c r="E39" s="8" t="s">
        <v>286</v>
      </c>
      <c r="F39" s="8" t="s">
        <v>287</v>
      </c>
      <c r="G39" s="8" t="s">
        <v>90</v>
      </c>
      <c r="H39" s="8" t="s">
        <v>90</v>
      </c>
      <c r="I39" s="8" t="s">
        <v>73</v>
      </c>
      <c r="J39" s="8" t="s">
        <v>279</v>
      </c>
      <c r="K39" s="8">
        <v>0</v>
      </c>
      <c r="L39" s="8">
        <v>2</v>
      </c>
      <c r="M39" s="8">
        <v>2</v>
      </c>
      <c r="N39" s="9">
        <v>0</v>
      </c>
      <c r="O39" s="9">
        <v>0</v>
      </c>
      <c r="P39" s="9">
        <v>0</v>
      </c>
      <c r="Q39" s="9">
        <v>0</v>
      </c>
      <c r="R39" s="9">
        <v>0</v>
      </c>
      <c r="S39" s="9"/>
      <c r="T39" s="8"/>
      <c r="U39" s="8" t="s">
        <v>301</v>
      </c>
      <c r="V39" s="8" t="s">
        <v>288</v>
      </c>
      <c r="W39" s="10">
        <v>8</v>
      </c>
      <c r="X39" s="11" t="s">
        <v>420</v>
      </c>
      <c r="Y39" s="11" t="s">
        <v>421</v>
      </c>
      <c r="Z39" s="11" t="s">
        <v>422</v>
      </c>
    </row>
    <row r="40" ht="33" customHeight="1" spans="1:26">
      <c r="A40" s="8" t="s">
        <v>133</v>
      </c>
      <c r="B40" s="8" t="s">
        <v>51</v>
      </c>
      <c r="C40" s="8" t="s">
        <v>423</v>
      </c>
      <c r="D40" s="8" t="s">
        <v>267</v>
      </c>
      <c r="E40" s="8" t="s">
        <v>384</v>
      </c>
      <c r="F40" s="8" t="s">
        <v>278</v>
      </c>
      <c r="G40" s="8" t="s">
        <v>90</v>
      </c>
      <c r="H40" s="8" t="s">
        <v>90</v>
      </c>
      <c r="I40" s="8" t="s">
        <v>73</v>
      </c>
      <c r="J40" s="8" t="s">
        <v>279</v>
      </c>
      <c r="K40" s="8">
        <v>0</v>
      </c>
      <c r="L40" s="8">
        <v>1</v>
      </c>
      <c r="M40" s="8">
        <v>1</v>
      </c>
      <c r="N40" s="9">
        <v>0</v>
      </c>
      <c r="O40" s="9">
        <v>4</v>
      </c>
      <c r="P40" s="9">
        <v>0</v>
      </c>
      <c r="Q40" s="9">
        <v>0</v>
      </c>
      <c r="R40" s="9">
        <v>0</v>
      </c>
      <c r="S40" s="9"/>
      <c r="T40" s="8"/>
      <c r="U40" s="8" t="s">
        <v>301</v>
      </c>
      <c r="V40" s="8" t="s">
        <v>288</v>
      </c>
      <c r="W40" s="10">
        <v>12</v>
      </c>
      <c r="X40" s="11" t="s">
        <v>424</v>
      </c>
      <c r="Y40" s="11" t="s">
        <v>425</v>
      </c>
      <c r="Z40" s="11" t="s">
        <v>426</v>
      </c>
    </row>
    <row r="41" ht="33" customHeight="1" spans="1:26">
      <c r="A41" s="8" t="s">
        <v>133</v>
      </c>
      <c r="B41" s="8" t="s">
        <v>51</v>
      </c>
      <c r="C41" s="8" t="s">
        <v>427</v>
      </c>
      <c r="D41" s="8" t="s">
        <v>285</v>
      </c>
      <c r="E41" s="8" t="s">
        <v>286</v>
      </c>
      <c r="F41" s="8" t="s">
        <v>287</v>
      </c>
      <c r="G41" s="8" t="s">
        <v>90</v>
      </c>
      <c r="H41" s="8" t="s">
        <v>90</v>
      </c>
      <c r="I41" s="8" t="s">
        <v>73</v>
      </c>
      <c r="J41" s="8" t="s">
        <v>279</v>
      </c>
      <c r="K41" s="8">
        <v>0</v>
      </c>
      <c r="L41" s="8">
        <v>1</v>
      </c>
      <c r="M41" s="8">
        <v>1</v>
      </c>
      <c r="N41" s="9">
        <v>0</v>
      </c>
      <c r="O41" s="9">
        <v>0</v>
      </c>
      <c r="P41" s="9">
        <v>0</v>
      </c>
      <c r="Q41" s="9">
        <v>0</v>
      </c>
      <c r="R41" s="9">
        <v>0</v>
      </c>
      <c r="S41" s="9"/>
      <c r="T41" s="8"/>
      <c r="U41" s="8" t="s">
        <v>301</v>
      </c>
      <c r="V41" s="8" t="s">
        <v>288</v>
      </c>
      <c r="W41" s="10">
        <v>8</v>
      </c>
      <c r="X41" s="11" t="s">
        <v>428</v>
      </c>
      <c r="Y41" s="11" t="s">
        <v>421</v>
      </c>
      <c r="Z41" s="11" t="s">
        <v>422</v>
      </c>
    </row>
    <row r="42" ht="33" customHeight="1" spans="1:26">
      <c r="A42" s="8" t="s">
        <v>133</v>
      </c>
      <c r="B42" s="8" t="s">
        <v>51</v>
      </c>
      <c r="C42" s="8" t="s">
        <v>429</v>
      </c>
      <c r="D42" s="8" t="s">
        <v>285</v>
      </c>
      <c r="E42" s="8" t="s">
        <v>286</v>
      </c>
      <c r="F42" s="8" t="s">
        <v>287</v>
      </c>
      <c r="G42" s="8" t="s">
        <v>90</v>
      </c>
      <c r="H42" s="8" t="s">
        <v>90</v>
      </c>
      <c r="I42" s="8" t="s">
        <v>90</v>
      </c>
      <c r="J42" s="8" t="s">
        <v>279</v>
      </c>
      <c r="K42" s="8">
        <v>0</v>
      </c>
      <c r="L42" s="8">
        <v>1</v>
      </c>
      <c r="M42" s="8">
        <v>1</v>
      </c>
      <c r="N42" s="9">
        <v>0</v>
      </c>
      <c r="O42" s="9">
        <v>0</v>
      </c>
      <c r="P42" s="9">
        <v>0</v>
      </c>
      <c r="Q42" s="9">
        <v>0</v>
      </c>
      <c r="R42" s="9">
        <v>0</v>
      </c>
      <c r="S42" s="9"/>
      <c r="T42" s="8"/>
      <c r="U42" s="8" t="s">
        <v>301</v>
      </c>
      <c r="V42" s="8" t="s">
        <v>288</v>
      </c>
      <c r="W42" s="10">
        <v>12</v>
      </c>
      <c r="X42" s="11" t="s">
        <v>430</v>
      </c>
      <c r="Y42" s="11" t="s">
        <v>431</v>
      </c>
      <c r="Z42" s="11" t="s">
        <v>432</v>
      </c>
    </row>
    <row r="43" ht="33" customHeight="1" spans="1:26">
      <c r="A43" s="8" t="s">
        <v>133</v>
      </c>
      <c r="B43" s="8" t="s">
        <v>51</v>
      </c>
      <c r="C43" s="8" t="s">
        <v>433</v>
      </c>
      <c r="D43" s="8" t="s">
        <v>267</v>
      </c>
      <c r="E43" s="8" t="s">
        <v>277</v>
      </c>
      <c r="F43" s="8" t="s">
        <v>278</v>
      </c>
      <c r="G43" s="8" t="s">
        <v>90</v>
      </c>
      <c r="H43" s="8" t="s">
        <v>90</v>
      </c>
      <c r="I43" s="8" t="s">
        <v>73</v>
      </c>
      <c r="J43" s="8" t="s">
        <v>279</v>
      </c>
      <c r="K43" s="8">
        <v>0</v>
      </c>
      <c r="L43" s="8">
        <v>3</v>
      </c>
      <c r="M43" s="8">
        <v>3</v>
      </c>
      <c r="N43" s="9">
        <v>0</v>
      </c>
      <c r="O43" s="9">
        <v>12</v>
      </c>
      <c r="P43" s="9">
        <v>12</v>
      </c>
      <c r="Q43" s="9">
        <v>8</v>
      </c>
      <c r="R43" s="9">
        <v>0</v>
      </c>
      <c r="S43" s="9"/>
      <c r="T43" s="8"/>
      <c r="U43" s="8" t="s">
        <v>301</v>
      </c>
      <c r="V43" s="8" t="s">
        <v>288</v>
      </c>
      <c r="W43" s="10">
        <v>12</v>
      </c>
      <c r="X43" s="11" t="s">
        <v>434</v>
      </c>
      <c r="Y43" s="11" t="s">
        <v>435</v>
      </c>
      <c r="Z43" s="11" t="s">
        <v>436</v>
      </c>
    </row>
    <row r="44" ht="136" customHeight="1" spans="1:26">
      <c r="A44" s="8" t="s">
        <v>133</v>
      </c>
      <c r="B44" s="8" t="s">
        <v>51</v>
      </c>
      <c r="C44" s="8" t="s">
        <v>437</v>
      </c>
      <c r="D44" s="8" t="s">
        <v>267</v>
      </c>
      <c r="E44" s="8" t="s">
        <v>384</v>
      </c>
      <c r="F44" s="8" t="s">
        <v>278</v>
      </c>
      <c r="G44" s="8" t="s">
        <v>73</v>
      </c>
      <c r="H44" s="8" t="s">
        <v>73</v>
      </c>
      <c r="I44" s="8" t="s">
        <v>90</v>
      </c>
      <c r="J44" s="8" t="s">
        <v>279</v>
      </c>
      <c r="K44" s="8">
        <v>0</v>
      </c>
      <c r="L44" s="8">
        <v>4</v>
      </c>
      <c r="M44" s="8">
        <v>4</v>
      </c>
      <c r="N44" s="9">
        <v>0</v>
      </c>
      <c r="O44" s="9">
        <v>0</v>
      </c>
      <c r="P44" s="9">
        <v>0</v>
      </c>
      <c r="Q44" s="9">
        <v>0</v>
      </c>
      <c r="R44" s="9">
        <v>0</v>
      </c>
      <c r="S44" s="9"/>
      <c r="T44" s="8"/>
      <c r="U44" s="8" t="s">
        <v>301</v>
      </c>
      <c r="V44" s="8" t="s">
        <v>288</v>
      </c>
      <c r="W44" s="10">
        <v>8</v>
      </c>
      <c r="X44" s="11" t="s">
        <v>438</v>
      </c>
      <c r="Y44" s="11" t="s">
        <v>439</v>
      </c>
      <c r="Z44" s="11" t="s">
        <v>436</v>
      </c>
    </row>
    <row r="45" ht="204" customHeight="1" spans="1:26">
      <c r="A45" s="8" t="s">
        <v>133</v>
      </c>
      <c r="B45" s="8" t="s">
        <v>51</v>
      </c>
      <c r="C45" s="8" t="s">
        <v>440</v>
      </c>
      <c r="D45" s="8" t="s">
        <v>267</v>
      </c>
      <c r="E45" s="8" t="s">
        <v>441</v>
      </c>
      <c r="F45" s="8" t="s">
        <v>278</v>
      </c>
      <c r="G45" s="8" t="s">
        <v>73</v>
      </c>
      <c r="H45" s="8" t="s">
        <v>73</v>
      </c>
      <c r="I45" s="8" t="s">
        <v>73</v>
      </c>
      <c r="J45" s="8" t="s">
        <v>279</v>
      </c>
      <c r="K45" s="8">
        <v>0</v>
      </c>
      <c r="L45" s="8">
        <v>1</v>
      </c>
      <c r="M45" s="8">
        <v>1</v>
      </c>
      <c r="N45" s="9">
        <v>0</v>
      </c>
      <c r="O45" s="9">
        <v>4</v>
      </c>
      <c r="P45" s="9">
        <v>0</v>
      </c>
      <c r="Q45" s="9">
        <v>0</v>
      </c>
      <c r="R45" s="9">
        <v>0</v>
      </c>
      <c r="S45" s="9"/>
      <c r="T45" s="8"/>
      <c r="U45" s="8" t="s">
        <v>301</v>
      </c>
      <c r="V45" s="8" t="s">
        <v>288</v>
      </c>
      <c r="W45" s="10">
        <v>8</v>
      </c>
      <c r="X45" s="11" t="s">
        <v>442</v>
      </c>
      <c r="Y45" s="11" t="s">
        <v>443</v>
      </c>
      <c r="Z45" s="11" t="s">
        <v>444</v>
      </c>
    </row>
    <row r="46" ht="51" customHeight="1" spans="1:26">
      <c r="A46" s="8" t="s">
        <v>133</v>
      </c>
      <c r="B46" s="8" t="s">
        <v>51</v>
      </c>
      <c r="C46" s="8" t="s">
        <v>445</v>
      </c>
      <c r="D46" s="8" t="s">
        <v>384</v>
      </c>
      <c r="E46" s="8" t="s">
        <v>384</v>
      </c>
      <c r="F46" s="8" t="s">
        <v>338</v>
      </c>
      <c r="G46" s="8" t="s">
        <v>73</v>
      </c>
      <c r="H46" s="8" t="s">
        <v>73</v>
      </c>
      <c r="I46" s="8" t="s">
        <v>73</v>
      </c>
      <c r="J46" s="8" t="s">
        <v>279</v>
      </c>
      <c r="K46" s="8">
        <v>0</v>
      </c>
      <c r="L46" s="8">
        <v>1</v>
      </c>
      <c r="M46" s="8">
        <v>1</v>
      </c>
      <c r="N46" s="9">
        <v>0</v>
      </c>
      <c r="O46" s="9">
        <v>0</v>
      </c>
      <c r="P46" s="9">
        <v>4</v>
      </c>
      <c r="Q46" s="9">
        <v>0</v>
      </c>
      <c r="R46" s="9">
        <v>0</v>
      </c>
      <c r="S46" s="9"/>
      <c r="T46" s="8"/>
      <c r="U46" s="8" t="s">
        <v>301</v>
      </c>
      <c r="V46" s="8" t="s">
        <v>288</v>
      </c>
      <c r="W46" s="10">
        <v>8</v>
      </c>
      <c r="X46" s="11" t="s">
        <v>446</v>
      </c>
      <c r="Y46" s="11" t="s">
        <v>447</v>
      </c>
      <c r="Z46" s="11" t="s">
        <v>448</v>
      </c>
    </row>
    <row r="47" ht="51" customHeight="1" spans="1:26">
      <c r="A47" s="8" t="s">
        <v>133</v>
      </c>
      <c r="B47" s="8" t="s">
        <v>51</v>
      </c>
      <c r="C47" s="8" t="s">
        <v>449</v>
      </c>
      <c r="D47" s="8" t="s">
        <v>267</v>
      </c>
      <c r="E47" s="8" t="s">
        <v>317</v>
      </c>
      <c r="F47" s="8" t="s">
        <v>278</v>
      </c>
      <c r="G47" s="8" t="s">
        <v>73</v>
      </c>
      <c r="H47" s="8" t="s">
        <v>73</v>
      </c>
      <c r="I47" s="8" t="s">
        <v>73</v>
      </c>
      <c r="J47" s="8" t="s">
        <v>279</v>
      </c>
      <c r="K47" s="8">
        <v>0</v>
      </c>
      <c r="L47" s="8">
        <v>2</v>
      </c>
      <c r="M47" s="8">
        <v>2</v>
      </c>
      <c r="N47" s="9">
        <v>4</v>
      </c>
      <c r="O47" s="9">
        <v>4</v>
      </c>
      <c r="P47" s="9">
        <v>0</v>
      </c>
      <c r="Q47" s="9">
        <v>0</v>
      </c>
      <c r="R47" s="9">
        <v>0</v>
      </c>
      <c r="S47" s="9"/>
      <c r="T47" s="8"/>
      <c r="U47" s="8" t="s">
        <v>301</v>
      </c>
      <c r="V47" s="8" t="s">
        <v>288</v>
      </c>
      <c r="W47" s="10">
        <v>8</v>
      </c>
      <c r="X47" s="11" t="s">
        <v>450</v>
      </c>
      <c r="Y47" s="11" t="s">
        <v>451</v>
      </c>
      <c r="Z47" s="11" t="s">
        <v>452</v>
      </c>
    </row>
    <row r="48" ht="51" customHeight="1" spans="1:26">
      <c r="A48" s="8" t="s">
        <v>225</v>
      </c>
      <c r="B48" s="8" t="s">
        <v>99</v>
      </c>
      <c r="C48" s="8" t="s">
        <v>453</v>
      </c>
      <c r="D48" s="8" t="s">
        <v>285</v>
      </c>
      <c r="E48" s="8" t="s">
        <v>286</v>
      </c>
      <c r="F48" s="8" t="s">
        <v>287</v>
      </c>
      <c r="G48" s="8" t="s">
        <v>90</v>
      </c>
      <c r="H48" s="8" t="s">
        <v>90</v>
      </c>
      <c r="I48" s="8" t="s">
        <v>90</v>
      </c>
      <c r="J48" s="8" t="s">
        <v>293</v>
      </c>
      <c r="K48" s="8">
        <v>4</v>
      </c>
      <c r="L48" s="8">
        <v>12</v>
      </c>
      <c r="M48" s="8">
        <v>16</v>
      </c>
      <c r="N48" s="9">
        <v>48</v>
      </c>
      <c r="O48" s="9">
        <v>88</v>
      </c>
      <c r="P48" s="9">
        <v>92</v>
      </c>
      <c r="Q48" s="9">
        <v>84</v>
      </c>
      <c r="R48" s="9">
        <v>112</v>
      </c>
      <c r="S48" s="9">
        <v>185</v>
      </c>
      <c r="T48" s="8"/>
      <c r="U48" s="8" t="s">
        <v>271</v>
      </c>
      <c r="V48" s="8" t="s">
        <v>454</v>
      </c>
      <c r="W48" s="10">
        <v>200</v>
      </c>
      <c r="X48" s="11" t="s">
        <v>455</v>
      </c>
      <c r="Y48" s="11" t="s">
        <v>456</v>
      </c>
      <c r="Z48" s="11" t="s">
        <v>457</v>
      </c>
    </row>
    <row r="49" ht="51" customHeight="1" spans="1:26">
      <c r="A49" s="8" t="s">
        <v>225</v>
      </c>
      <c r="B49" s="8" t="s">
        <v>99</v>
      </c>
      <c r="C49" s="8" t="s">
        <v>458</v>
      </c>
      <c r="D49" s="8" t="s">
        <v>285</v>
      </c>
      <c r="E49" s="8" t="s">
        <v>286</v>
      </c>
      <c r="F49" s="8" t="s">
        <v>287</v>
      </c>
      <c r="G49" s="8" t="s">
        <v>90</v>
      </c>
      <c r="H49" s="8" t="s">
        <v>90</v>
      </c>
      <c r="I49" s="8" t="s">
        <v>90</v>
      </c>
      <c r="J49" s="8" t="s">
        <v>293</v>
      </c>
      <c r="K49" s="8">
        <v>4</v>
      </c>
      <c r="L49" s="8">
        <v>4</v>
      </c>
      <c r="M49" s="8">
        <v>8</v>
      </c>
      <c r="N49" s="9">
        <v>8</v>
      </c>
      <c r="O49" s="9">
        <v>12</v>
      </c>
      <c r="P49" s="9">
        <v>12</v>
      </c>
      <c r="Q49" s="9">
        <v>8</v>
      </c>
      <c r="R49" s="9">
        <v>20</v>
      </c>
      <c r="S49" s="9">
        <v>44</v>
      </c>
      <c r="T49" s="8"/>
      <c r="U49" s="8" t="s">
        <v>288</v>
      </c>
      <c r="V49" s="8" t="s">
        <v>280</v>
      </c>
      <c r="W49" s="10">
        <v>60</v>
      </c>
      <c r="X49" s="11" t="s">
        <v>459</v>
      </c>
      <c r="Y49" s="11" t="s">
        <v>460</v>
      </c>
      <c r="Z49" s="11" t="s">
        <v>461</v>
      </c>
    </row>
    <row r="50" ht="51" customHeight="1" spans="1:26">
      <c r="A50" s="8" t="s">
        <v>225</v>
      </c>
      <c r="B50" s="8" t="s">
        <v>99</v>
      </c>
      <c r="C50" s="8" t="s">
        <v>462</v>
      </c>
      <c r="D50" s="8" t="s">
        <v>267</v>
      </c>
      <c r="E50" s="8" t="s">
        <v>277</v>
      </c>
      <c r="F50" s="8" t="s">
        <v>278</v>
      </c>
      <c r="G50" s="8" t="s">
        <v>90</v>
      </c>
      <c r="H50" s="8" t="s">
        <v>73</v>
      </c>
      <c r="I50" s="8" t="s">
        <v>90</v>
      </c>
      <c r="J50" s="8" t="s">
        <v>279</v>
      </c>
      <c r="K50" s="8">
        <v>0</v>
      </c>
      <c r="L50" s="8">
        <v>8</v>
      </c>
      <c r="M50" s="8">
        <v>8</v>
      </c>
      <c r="N50" s="9">
        <v>4</v>
      </c>
      <c r="O50" s="9">
        <v>16</v>
      </c>
      <c r="P50" s="9">
        <v>8</v>
      </c>
      <c r="Q50" s="9">
        <v>0</v>
      </c>
      <c r="R50" s="9">
        <v>0</v>
      </c>
      <c r="S50" s="9">
        <v>0</v>
      </c>
      <c r="T50" s="8"/>
      <c r="U50" s="8" t="s">
        <v>301</v>
      </c>
      <c r="V50" s="8" t="s">
        <v>301</v>
      </c>
      <c r="W50" s="10">
        <v>12</v>
      </c>
      <c r="X50" s="11" t="s">
        <v>455</v>
      </c>
      <c r="Y50" s="11" t="s">
        <v>463</v>
      </c>
      <c r="Z50" s="11" t="s">
        <v>464</v>
      </c>
    </row>
    <row r="51" ht="51" customHeight="1" spans="1:26">
      <c r="A51" s="8" t="s">
        <v>225</v>
      </c>
      <c r="B51" s="8" t="s">
        <v>99</v>
      </c>
      <c r="C51" s="8" t="s">
        <v>465</v>
      </c>
      <c r="D51" s="8" t="s">
        <v>267</v>
      </c>
      <c r="E51" s="8" t="s">
        <v>268</v>
      </c>
      <c r="F51" s="8" t="s">
        <v>269</v>
      </c>
      <c r="G51" s="8" t="s">
        <v>90</v>
      </c>
      <c r="H51" s="8" t="s">
        <v>90</v>
      </c>
      <c r="I51" s="8" t="s">
        <v>90</v>
      </c>
      <c r="J51" s="8" t="s">
        <v>270</v>
      </c>
      <c r="K51" s="8">
        <v>8</v>
      </c>
      <c r="L51" s="8">
        <v>0</v>
      </c>
      <c r="M51" s="8">
        <v>8</v>
      </c>
      <c r="N51" s="9">
        <v>0</v>
      </c>
      <c r="O51" s="9">
        <v>0</v>
      </c>
      <c r="P51" s="9">
        <v>0</v>
      </c>
      <c r="Q51" s="9">
        <v>0</v>
      </c>
      <c r="R51" s="9">
        <v>0</v>
      </c>
      <c r="S51" s="9">
        <v>0</v>
      </c>
      <c r="T51" s="8"/>
      <c r="U51" s="8" t="s">
        <v>301</v>
      </c>
      <c r="V51" s="8" t="s">
        <v>301</v>
      </c>
      <c r="W51" s="10">
        <v>30</v>
      </c>
      <c r="X51" s="11" t="s">
        <v>455</v>
      </c>
      <c r="Y51" s="11" t="s">
        <v>466</v>
      </c>
      <c r="Z51" s="11" t="s">
        <v>467</v>
      </c>
    </row>
    <row r="52" ht="51" customHeight="1" spans="1:26">
      <c r="A52" s="8" t="s">
        <v>225</v>
      </c>
      <c r="B52" s="8" t="s">
        <v>99</v>
      </c>
      <c r="C52" s="8" t="s">
        <v>468</v>
      </c>
      <c r="D52" s="8" t="s">
        <v>267</v>
      </c>
      <c r="E52" s="8" t="s">
        <v>277</v>
      </c>
      <c r="F52" s="8" t="s">
        <v>278</v>
      </c>
      <c r="G52" s="8" t="s">
        <v>90</v>
      </c>
      <c r="H52" s="8" t="s">
        <v>73</v>
      </c>
      <c r="I52" s="8" t="s">
        <v>73</v>
      </c>
      <c r="J52" s="8" t="s">
        <v>279</v>
      </c>
      <c r="K52" s="8">
        <v>0</v>
      </c>
      <c r="L52" s="8">
        <v>1</v>
      </c>
      <c r="M52" s="8">
        <v>1</v>
      </c>
      <c r="N52" s="9">
        <v>0</v>
      </c>
      <c r="O52" s="9">
        <v>4</v>
      </c>
      <c r="P52" s="9">
        <v>0</v>
      </c>
      <c r="Q52" s="9">
        <v>0</v>
      </c>
      <c r="R52" s="9">
        <v>0</v>
      </c>
      <c r="S52" s="9">
        <v>4</v>
      </c>
      <c r="T52" s="8"/>
      <c r="U52" s="8" t="s">
        <v>301</v>
      </c>
      <c r="V52" s="8" t="s">
        <v>301</v>
      </c>
      <c r="W52" s="10">
        <v>12</v>
      </c>
      <c r="X52" s="11" t="s">
        <v>469</v>
      </c>
      <c r="Y52" s="11" t="s">
        <v>470</v>
      </c>
      <c r="Z52" s="11" t="s">
        <v>467</v>
      </c>
    </row>
    <row r="53" ht="51" customHeight="1" spans="1:26">
      <c r="A53" s="8" t="s">
        <v>225</v>
      </c>
      <c r="B53" s="8" t="s">
        <v>99</v>
      </c>
      <c r="C53" s="8" t="s">
        <v>471</v>
      </c>
      <c r="D53" s="8" t="s">
        <v>267</v>
      </c>
      <c r="E53" s="8" t="s">
        <v>277</v>
      </c>
      <c r="F53" s="8" t="s">
        <v>278</v>
      </c>
      <c r="G53" s="8" t="s">
        <v>90</v>
      </c>
      <c r="H53" s="8" t="s">
        <v>73</v>
      </c>
      <c r="I53" s="8" t="s">
        <v>73</v>
      </c>
      <c r="J53" s="8" t="s">
        <v>279</v>
      </c>
      <c r="K53" s="8">
        <v>0</v>
      </c>
      <c r="L53" s="8">
        <v>1</v>
      </c>
      <c r="M53" s="8">
        <v>1</v>
      </c>
      <c r="N53" s="9">
        <v>0</v>
      </c>
      <c r="O53" s="9">
        <v>4</v>
      </c>
      <c r="P53" s="9">
        <v>0</v>
      </c>
      <c r="Q53" s="9">
        <v>0</v>
      </c>
      <c r="R53" s="9">
        <v>0</v>
      </c>
      <c r="S53" s="9">
        <v>4</v>
      </c>
      <c r="T53" s="8"/>
      <c r="U53" s="8" t="s">
        <v>301</v>
      </c>
      <c r="V53" s="8" t="s">
        <v>301</v>
      </c>
      <c r="W53" s="10">
        <v>12</v>
      </c>
      <c r="X53" s="11" t="s">
        <v>469</v>
      </c>
      <c r="Y53" s="11" t="s">
        <v>470</v>
      </c>
      <c r="Z53" s="11" t="s">
        <v>467</v>
      </c>
    </row>
    <row r="54" ht="51" customHeight="1" spans="1:26">
      <c r="A54" s="8" t="s">
        <v>225</v>
      </c>
      <c r="B54" s="8" t="s">
        <v>99</v>
      </c>
      <c r="C54" s="8" t="s">
        <v>472</v>
      </c>
      <c r="D54" s="8" t="s">
        <v>267</v>
      </c>
      <c r="E54" s="8" t="s">
        <v>277</v>
      </c>
      <c r="F54" s="8" t="s">
        <v>278</v>
      </c>
      <c r="G54" s="8" t="s">
        <v>90</v>
      </c>
      <c r="H54" s="8" t="s">
        <v>73</v>
      </c>
      <c r="I54" s="8" t="s">
        <v>73</v>
      </c>
      <c r="J54" s="8" t="s">
        <v>279</v>
      </c>
      <c r="K54" s="8">
        <v>0</v>
      </c>
      <c r="L54" s="8">
        <v>1</v>
      </c>
      <c r="M54" s="8">
        <v>1</v>
      </c>
      <c r="N54" s="9">
        <v>12</v>
      </c>
      <c r="O54" s="9">
        <v>4</v>
      </c>
      <c r="P54" s="9">
        <v>0</v>
      </c>
      <c r="Q54" s="9">
        <v>28</v>
      </c>
      <c r="R54" s="9">
        <v>0</v>
      </c>
      <c r="S54" s="9">
        <v>0</v>
      </c>
      <c r="T54" s="8"/>
      <c r="U54" s="8" t="s">
        <v>301</v>
      </c>
      <c r="V54" s="8" t="s">
        <v>301</v>
      </c>
      <c r="W54" s="10">
        <v>12</v>
      </c>
      <c r="X54" s="11" t="s">
        <v>455</v>
      </c>
      <c r="Y54" s="11" t="s">
        <v>466</v>
      </c>
      <c r="Z54" s="11" t="s">
        <v>467</v>
      </c>
    </row>
    <row r="55" ht="51" customHeight="1" spans="1:26">
      <c r="A55" s="8" t="s">
        <v>231</v>
      </c>
      <c r="B55" s="8" t="s">
        <v>99</v>
      </c>
      <c r="C55" s="8" t="s">
        <v>473</v>
      </c>
      <c r="D55" s="8" t="s">
        <v>267</v>
      </c>
      <c r="E55" s="8" t="s">
        <v>268</v>
      </c>
      <c r="F55" s="8" t="s">
        <v>269</v>
      </c>
      <c r="G55" s="8" t="s">
        <v>90</v>
      </c>
      <c r="H55" s="8" t="s">
        <v>90</v>
      </c>
      <c r="I55" s="8" t="s">
        <v>90</v>
      </c>
      <c r="J55" s="8" t="s">
        <v>270</v>
      </c>
      <c r="K55" s="8">
        <v>4</v>
      </c>
      <c r="L55" s="8">
        <v>12</v>
      </c>
      <c r="M55" s="8">
        <v>16</v>
      </c>
      <c r="N55" s="9">
        <v>8</v>
      </c>
      <c r="O55" s="9">
        <v>48</v>
      </c>
      <c r="P55" s="9">
        <v>48</v>
      </c>
      <c r="Q55" s="9">
        <v>64</v>
      </c>
      <c r="R55" s="9">
        <v>37</v>
      </c>
      <c r="S55" s="9"/>
      <c r="T55" s="8"/>
      <c r="U55" s="8" t="s">
        <v>280</v>
      </c>
      <c r="V55" s="8" t="s">
        <v>271</v>
      </c>
      <c r="W55" s="10">
        <v>70</v>
      </c>
      <c r="X55" s="11" t="s">
        <v>474</v>
      </c>
      <c r="Y55" s="11" t="s">
        <v>475</v>
      </c>
      <c r="Z55" s="11" t="s">
        <v>457</v>
      </c>
    </row>
    <row r="56" ht="51" customHeight="1" spans="1:26">
      <c r="A56" s="8" t="s">
        <v>231</v>
      </c>
      <c r="B56" s="8" t="s">
        <v>99</v>
      </c>
      <c r="C56" s="8" t="s">
        <v>476</v>
      </c>
      <c r="D56" s="8" t="s">
        <v>267</v>
      </c>
      <c r="E56" s="8" t="s">
        <v>268</v>
      </c>
      <c r="F56" s="8" t="s">
        <v>269</v>
      </c>
      <c r="G56" s="8" t="s">
        <v>90</v>
      </c>
      <c r="H56" s="8" t="s">
        <v>90</v>
      </c>
      <c r="I56" s="8" t="s">
        <v>90</v>
      </c>
      <c r="J56" s="8" t="s">
        <v>270</v>
      </c>
      <c r="K56" s="8">
        <v>4</v>
      </c>
      <c r="L56" s="8">
        <v>8</v>
      </c>
      <c r="M56" s="8">
        <v>12</v>
      </c>
      <c r="N56" s="9">
        <v>44</v>
      </c>
      <c r="O56" s="9">
        <v>24</v>
      </c>
      <c r="P56" s="9">
        <v>36</v>
      </c>
      <c r="Q56" s="9">
        <v>16</v>
      </c>
      <c r="R56" s="9">
        <v>28</v>
      </c>
      <c r="S56" s="9"/>
      <c r="T56" s="8"/>
      <c r="U56" s="8" t="s">
        <v>288</v>
      </c>
      <c r="V56" s="8" t="s">
        <v>280</v>
      </c>
      <c r="W56" s="10">
        <v>50</v>
      </c>
      <c r="X56" s="11" t="s">
        <v>474</v>
      </c>
      <c r="Y56" s="11" t="s">
        <v>477</v>
      </c>
      <c r="Z56" s="11" t="s">
        <v>478</v>
      </c>
    </row>
    <row r="57" ht="102" customHeight="1" spans="1:26">
      <c r="A57" s="8" t="s">
        <v>231</v>
      </c>
      <c r="B57" s="8" t="s">
        <v>99</v>
      </c>
      <c r="C57" s="8" t="s">
        <v>479</v>
      </c>
      <c r="D57" s="8" t="s">
        <v>267</v>
      </c>
      <c r="E57" s="8" t="s">
        <v>277</v>
      </c>
      <c r="F57" s="8" t="s">
        <v>278</v>
      </c>
      <c r="G57" s="8" t="s">
        <v>90</v>
      </c>
      <c r="H57" s="8" t="s">
        <v>90</v>
      </c>
      <c r="I57" s="8" t="s">
        <v>90</v>
      </c>
      <c r="J57" s="8" t="s">
        <v>279</v>
      </c>
      <c r="K57" s="8">
        <v>0</v>
      </c>
      <c r="L57" s="8">
        <v>12</v>
      </c>
      <c r="M57" s="8">
        <v>12</v>
      </c>
      <c r="N57" s="9">
        <v>0</v>
      </c>
      <c r="O57" s="9">
        <v>1</v>
      </c>
      <c r="P57" s="9">
        <v>0</v>
      </c>
      <c r="Q57" s="9">
        <v>8</v>
      </c>
      <c r="R57" s="9">
        <v>12</v>
      </c>
      <c r="S57" s="9"/>
      <c r="T57" s="8"/>
      <c r="U57" s="8" t="s">
        <v>288</v>
      </c>
      <c r="V57" s="8" t="s">
        <v>280</v>
      </c>
      <c r="W57" s="10">
        <v>4</v>
      </c>
      <c r="X57" s="11" t="s">
        <v>480</v>
      </c>
      <c r="Y57" s="11" t="s">
        <v>481</v>
      </c>
      <c r="Z57" s="11" t="s">
        <v>482</v>
      </c>
    </row>
    <row r="58" ht="119" customHeight="1" spans="1:26">
      <c r="A58" s="8" t="s">
        <v>231</v>
      </c>
      <c r="B58" s="8" t="s">
        <v>99</v>
      </c>
      <c r="C58" s="8" t="s">
        <v>483</v>
      </c>
      <c r="D58" s="8" t="s">
        <v>285</v>
      </c>
      <c r="E58" s="8" t="s">
        <v>286</v>
      </c>
      <c r="F58" s="8" t="s">
        <v>287</v>
      </c>
      <c r="G58" s="8" t="s">
        <v>90</v>
      </c>
      <c r="H58" s="8" t="s">
        <v>73</v>
      </c>
      <c r="I58" s="8" t="s">
        <v>90</v>
      </c>
      <c r="J58" s="8" t="s">
        <v>293</v>
      </c>
      <c r="K58" s="8">
        <v>8</v>
      </c>
      <c r="L58" s="8">
        <v>0</v>
      </c>
      <c r="M58" s="8">
        <v>8</v>
      </c>
      <c r="N58" s="9">
        <v>1</v>
      </c>
      <c r="O58" s="9">
        <v>0</v>
      </c>
      <c r="P58" s="9">
        <v>0</v>
      </c>
      <c r="Q58" s="9">
        <v>0</v>
      </c>
      <c r="R58" s="9">
        <v>3</v>
      </c>
      <c r="S58" s="9"/>
      <c r="T58" s="8"/>
      <c r="U58" s="8" t="s">
        <v>288</v>
      </c>
      <c r="V58" s="8" t="s">
        <v>280</v>
      </c>
      <c r="W58" s="10">
        <v>20</v>
      </c>
      <c r="X58" s="11" t="s">
        <v>480</v>
      </c>
      <c r="Y58" s="11" t="s">
        <v>484</v>
      </c>
      <c r="Z58" s="11" t="s">
        <v>485</v>
      </c>
    </row>
    <row r="59" ht="102" customHeight="1" spans="1:26">
      <c r="A59" s="8" t="s">
        <v>231</v>
      </c>
      <c r="B59" s="8" t="s">
        <v>99</v>
      </c>
      <c r="C59" s="8" t="s">
        <v>486</v>
      </c>
      <c r="D59" s="8" t="s">
        <v>267</v>
      </c>
      <c r="E59" s="8" t="s">
        <v>277</v>
      </c>
      <c r="F59" s="8" t="s">
        <v>278</v>
      </c>
      <c r="G59" s="8" t="s">
        <v>90</v>
      </c>
      <c r="H59" s="8" t="s">
        <v>73</v>
      </c>
      <c r="I59" s="8" t="s">
        <v>73</v>
      </c>
      <c r="J59" s="8" t="s">
        <v>279</v>
      </c>
      <c r="K59" s="8">
        <v>0</v>
      </c>
      <c r="L59" s="8">
        <v>12</v>
      </c>
      <c r="M59" s="8">
        <v>12</v>
      </c>
      <c r="N59" s="9">
        <v>0</v>
      </c>
      <c r="O59" s="9">
        <v>20</v>
      </c>
      <c r="P59" s="9">
        <v>5</v>
      </c>
      <c r="Q59" s="9">
        <v>2</v>
      </c>
      <c r="R59" s="9">
        <v>1</v>
      </c>
      <c r="S59" s="9"/>
      <c r="T59" s="8"/>
      <c r="U59" s="8" t="s">
        <v>288</v>
      </c>
      <c r="V59" s="8" t="s">
        <v>280</v>
      </c>
      <c r="W59" s="10">
        <v>0</v>
      </c>
      <c r="X59" s="11"/>
      <c r="Y59" s="11"/>
      <c r="Z59" s="11"/>
    </row>
    <row r="60" ht="51" customHeight="1" spans="1:26">
      <c r="A60" s="8" t="s">
        <v>231</v>
      </c>
      <c r="B60" s="8" t="s">
        <v>99</v>
      </c>
      <c r="C60" s="8" t="s">
        <v>487</v>
      </c>
      <c r="D60" s="8" t="s">
        <v>267</v>
      </c>
      <c r="E60" s="8" t="s">
        <v>277</v>
      </c>
      <c r="F60" s="8" t="s">
        <v>278</v>
      </c>
      <c r="G60" s="8" t="s">
        <v>90</v>
      </c>
      <c r="H60" s="8" t="s">
        <v>90</v>
      </c>
      <c r="I60" s="8" t="s">
        <v>73</v>
      </c>
      <c r="J60" s="8" t="s">
        <v>279</v>
      </c>
      <c r="K60" s="8">
        <v>0</v>
      </c>
      <c r="L60" s="8">
        <v>12</v>
      </c>
      <c r="M60" s="8">
        <v>12</v>
      </c>
      <c r="N60" s="9">
        <v>0</v>
      </c>
      <c r="O60" s="9">
        <v>0</v>
      </c>
      <c r="P60" s="9">
        <v>0</v>
      </c>
      <c r="Q60" s="9">
        <v>0</v>
      </c>
      <c r="R60" s="9">
        <v>0</v>
      </c>
      <c r="S60" s="9"/>
      <c r="T60" s="8"/>
      <c r="U60" s="8" t="s">
        <v>301</v>
      </c>
      <c r="V60" s="8" t="s">
        <v>288</v>
      </c>
      <c r="W60" s="10">
        <v>4</v>
      </c>
      <c r="X60" s="11" t="s">
        <v>488</v>
      </c>
      <c r="Y60" s="11" t="s">
        <v>489</v>
      </c>
      <c r="Z60" s="11" t="s">
        <v>490</v>
      </c>
    </row>
    <row r="61" ht="102" customHeight="1" spans="1:26">
      <c r="A61" s="8" t="s">
        <v>231</v>
      </c>
      <c r="B61" s="8" t="s">
        <v>99</v>
      </c>
      <c r="C61" s="8" t="s">
        <v>491</v>
      </c>
      <c r="D61" s="8" t="s">
        <v>267</v>
      </c>
      <c r="E61" s="8" t="s">
        <v>277</v>
      </c>
      <c r="F61" s="8" t="s">
        <v>278</v>
      </c>
      <c r="G61" s="8" t="s">
        <v>90</v>
      </c>
      <c r="H61" s="8" t="s">
        <v>73</v>
      </c>
      <c r="I61" s="8" t="s">
        <v>90</v>
      </c>
      <c r="J61" s="8" t="s">
        <v>279</v>
      </c>
      <c r="K61" s="8">
        <v>0</v>
      </c>
      <c r="L61" s="8">
        <v>8</v>
      </c>
      <c r="M61" s="8">
        <v>8</v>
      </c>
      <c r="N61" s="9">
        <v>0</v>
      </c>
      <c r="O61" s="9">
        <v>0</v>
      </c>
      <c r="P61" s="9">
        <v>0</v>
      </c>
      <c r="Q61" s="9">
        <v>0</v>
      </c>
      <c r="R61" s="9">
        <v>0</v>
      </c>
      <c r="S61" s="9"/>
      <c r="T61" s="8"/>
      <c r="U61" s="8" t="s">
        <v>301</v>
      </c>
      <c r="V61" s="8" t="s">
        <v>288</v>
      </c>
      <c r="W61" s="10">
        <v>4</v>
      </c>
      <c r="X61" s="11" t="s">
        <v>488</v>
      </c>
      <c r="Y61" s="11" t="s">
        <v>492</v>
      </c>
      <c r="Z61" s="11" t="s">
        <v>493</v>
      </c>
    </row>
    <row r="62" ht="51" customHeight="1" spans="1:26">
      <c r="A62" s="8" t="s">
        <v>231</v>
      </c>
      <c r="B62" s="8" t="s">
        <v>99</v>
      </c>
      <c r="C62" s="8" t="s">
        <v>494</v>
      </c>
      <c r="D62" s="8" t="s">
        <v>285</v>
      </c>
      <c r="E62" s="8" t="s">
        <v>286</v>
      </c>
      <c r="F62" s="8" t="s">
        <v>287</v>
      </c>
      <c r="G62" s="8" t="s">
        <v>90</v>
      </c>
      <c r="H62" s="8" t="s">
        <v>90</v>
      </c>
      <c r="I62" s="8" t="s">
        <v>90</v>
      </c>
      <c r="J62" s="8" t="s">
        <v>279</v>
      </c>
      <c r="K62" s="8">
        <v>0</v>
      </c>
      <c r="L62" s="8">
        <v>12</v>
      </c>
      <c r="M62" s="8">
        <v>12</v>
      </c>
      <c r="N62" s="9">
        <v>20</v>
      </c>
      <c r="O62" s="9">
        <v>4</v>
      </c>
      <c r="P62" s="9">
        <v>4</v>
      </c>
      <c r="Q62" s="9">
        <v>20</v>
      </c>
      <c r="R62" s="9">
        <v>0</v>
      </c>
      <c r="S62" s="9"/>
      <c r="T62" s="8"/>
      <c r="U62" s="8" t="s">
        <v>301</v>
      </c>
      <c r="V62" s="8" t="s">
        <v>288</v>
      </c>
      <c r="W62" s="10">
        <v>20</v>
      </c>
      <c r="X62" s="11" t="s">
        <v>480</v>
      </c>
      <c r="Y62" s="11" t="s">
        <v>495</v>
      </c>
      <c r="Z62" s="11" t="s">
        <v>496</v>
      </c>
    </row>
    <row r="63" ht="51" customHeight="1" spans="1:26">
      <c r="A63" s="8" t="s">
        <v>231</v>
      </c>
      <c r="B63" s="8" t="s">
        <v>99</v>
      </c>
      <c r="C63" s="8" t="s">
        <v>497</v>
      </c>
      <c r="D63" s="8" t="s">
        <v>285</v>
      </c>
      <c r="E63" s="8" t="s">
        <v>286</v>
      </c>
      <c r="F63" s="8" t="s">
        <v>287</v>
      </c>
      <c r="G63" s="8" t="s">
        <v>90</v>
      </c>
      <c r="H63" s="8" t="s">
        <v>90</v>
      </c>
      <c r="I63" s="8" t="s">
        <v>90</v>
      </c>
      <c r="J63" s="8" t="s">
        <v>279</v>
      </c>
      <c r="K63" s="8">
        <v>0</v>
      </c>
      <c r="L63" s="8">
        <v>12</v>
      </c>
      <c r="M63" s="8">
        <v>12</v>
      </c>
      <c r="N63" s="9">
        <v>0</v>
      </c>
      <c r="O63" s="9">
        <v>9</v>
      </c>
      <c r="P63" s="9">
        <v>0</v>
      </c>
      <c r="Q63" s="9">
        <v>4</v>
      </c>
      <c r="R63" s="9">
        <v>0</v>
      </c>
      <c r="S63" s="9"/>
      <c r="T63" s="8"/>
      <c r="U63" s="8" t="s">
        <v>301</v>
      </c>
      <c r="V63" s="8" t="s">
        <v>288</v>
      </c>
      <c r="W63" s="10">
        <v>20</v>
      </c>
      <c r="X63" s="11" t="s">
        <v>480</v>
      </c>
      <c r="Y63" s="11" t="s">
        <v>498</v>
      </c>
      <c r="Z63" s="11" t="s">
        <v>499</v>
      </c>
    </row>
    <row r="64" ht="51" customHeight="1" spans="1:26">
      <c r="A64" s="8" t="s">
        <v>231</v>
      </c>
      <c r="B64" s="8" t="s">
        <v>99</v>
      </c>
      <c r="C64" s="8" t="s">
        <v>500</v>
      </c>
      <c r="D64" s="8" t="s">
        <v>267</v>
      </c>
      <c r="E64" s="8" t="s">
        <v>277</v>
      </c>
      <c r="F64" s="8" t="s">
        <v>278</v>
      </c>
      <c r="G64" s="8" t="s">
        <v>73</v>
      </c>
      <c r="H64" s="8" t="s">
        <v>73</v>
      </c>
      <c r="I64" s="8" t="s">
        <v>90</v>
      </c>
      <c r="J64" s="8" t="s">
        <v>279</v>
      </c>
      <c r="K64" s="8">
        <v>0</v>
      </c>
      <c r="L64" s="8">
        <v>8</v>
      </c>
      <c r="M64" s="8">
        <v>8</v>
      </c>
      <c r="N64" s="9">
        <v>0</v>
      </c>
      <c r="O64" s="9">
        <v>0</v>
      </c>
      <c r="P64" s="9">
        <v>0</v>
      </c>
      <c r="Q64" s="9">
        <v>1</v>
      </c>
      <c r="R64" s="9">
        <v>0</v>
      </c>
      <c r="S64" s="9"/>
      <c r="T64" s="8"/>
      <c r="U64" s="8" t="s">
        <v>301</v>
      </c>
      <c r="V64" s="8" t="s">
        <v>288</v>
      </c>
      <c r="W64" s="10">
        <v>2</v>
      </c>
      <c r="X64" s="11" t="s">
        <v>488</v>
      </c>
      <c r="Y64" s="11" t="s">
        <v>501</v>
      </c>
      <c r="Z64" s="11" t="s">
        <v>502</v>
      </c>
    </row>
    <row r="65" ht="51" customHeight="1" spans="1:26">
      <c r="A65" s="8" t="s">
        <v>231</v>
      </c>
      <c r="B65" s="8" t="s">
        <v>99</v>
      </c>
      <c r="C65" s="8" t="s">
        <v>503</v>
      </c>
      <c r="D65" s="8" t="s">
        <v>267</v>
      </c>
      <c r="E65" s="8" t="s">
        <v>277</v>
      </c>
      <c r="F65" s="8" t="s">
        <v>278</v>
      </c>
      <c r="G65" s="8" t="s">
        <v>90</v>
      </c>
      <c r="H65" s="8" t="s">
        <v>73</v>
      </c>
      <c r="I65" s="8" t="s">
        <v>73</v>
      </c>
      <c r="J65" s="8" t="s">
        <v>279</v>
      </c>
      <c r="K65" s="8">
        <v>0</v>
      </c>
      <c r="L65" s="8">
        <v>8</v>
      </c>
      <c r="M65" s="8">
        <v>8</v>
      </c>
      <c r="N65" s="9">
        <v>0</v>
      </c>
      <c r="O65" s="9">
        <v>4</v>
      </c>
      <c r="P65" s="9">
        <v>0</v>
      </c>
      <c r="Q65" s="9">
        <v>0</v>
      </c>
      <c r="R65" s="9">
        <v>0</v>
      </c>
      <c r="S65" s="9"/>
      <c r="T65" s="8"/>
      <c r="U65" s="8" t="s">
        <v>301</v>
      </c>
      <c r="V65" s="8" t="s">
        <v>288</v>
      </c>
      <c r="W65" s="10">
        <v>2</v>
      </c>
      <c r="X65" s="11" t="s">
        <v>480</v>
      </c>
      <c r="Y65" s="11" t="s">
        <v>504</v>
      </c>
      <c r="Z65" s="11" t="s">
        <v>505</v>
      </c>
    </row>
    <row r="66" ht="51" customHeight="1" spans="1:26">
      <c r="A66" s="8" t="s">
        <v>50</v>
      </c>
      <c r="B66" s="8" t="s">
        <v>51</v>
      </c>
      <c r="C66" s="8" t="s">
        <v>506</v>
      </c>
      <c r="D66" s="8" t="s">
        <v>285</v>
      </c>
      <c r="E66" s="8" t="s">
        <v>286</v>
      </c>
      <c r="F66" s="8" t="s">
        <v>287</v>
      </c>
      <c r="G66" s="8" t="s">
        <v>90</v>
      </c>
      <c r="H66" s="8" t="s">
        <v>90</v>
      </c>
      <c r="I66" s="8" t="s">
        <v>90</v>
      </c>
      <c r="J66" s="8" t="s">
        <v>279</v>
      </c>
      <c r="K66" s="8">
        <v>0</v>
      </c>
      <c r="L66" s="8">
        <v>12</v>
      </c>
      <c r="M66" s="8">
        <v>12</v>
      </c>
      <c r="N66" s="9">
        <v>388</v>
      </c>
      <c r="O66" s="9">
        <v>400</v>
      </c>
      <c r="P66" s="9">
        <v>412</v>
      </c>
      <c r="Q66" s="9">
        <v>480</v>
      </c>
      <c r="R66" s="9">
        <v>536</v>
      </c>
      <c r="S66" s="9"/>
      <c r="T66" s="8"/>
      <c r="U66" s="8" t="s">
        <v>507</v>
      </c>
      <c r="V66" s="8" t="s">
        <v>507</v>
      </c>
      <c r="W66" s="10">
        <v>600</v>
      </c>
      <c r="X66" s="11" t="s">
        <v>508</v>
      </c>
      <c r="Y66" s="11" t="s">
        <v>509</v>
      </c>
      <c r="Z66" s="11" t="s">
        <v>510</v>
      </c>
    </row>
    <row r="67" ht="51" customHeight="1" spans="1:26">
      <c r="A67" s="8" t="s">
        <v>50</v>
      </c>
      <c r="B67" s="8" t="s">
        <v>51</v>
      </c>
      <c r="C67" s="8" t="s">
        <v>511</v>
      </c>
      <c r="D67" s="8" t="s">
        <v>267</v>
      </c>
      <c r="E67" s="8" t="s">
        <v>512</v>
      </c>
      <c r="F67" s="8" t="s">
        <v>287</v>
      </c>
      <c r="G67" s="8" t="s">
        <v>90</v>
      </c>
      <c r="H67" s="8" t="s">
        <v>90</v>
      </c>
      <c r="I67" s="8" t="s">
        <v>90</v>
      </c>
      <c r="J67" s="8" t="s">
        <v>347</v>
      </c>
      <c r="K67" s="8">
        <v>4</v>
      </c>
      <c r="L67" s="8">
        <v>8</v>
      </c>
      <c r="M67" s="8">
        <v>12</v>
      </c>
      <c r="N67" s="9">
        <v>200</v>
      </c>
      <c r="O67" s="9">
        <v>244</v>
      </c>
      <c r="P67" s="9">
        <v>288</v>
      </c>
      <c r="Q67" s="9">
        <v>112</v>
      </c>
      <c r="R67" s="9">
        <v>516</v>
      </c>
      <c r="S67" s="9"/>
      <c r="T67" s="8"/>
      <c r="U67" s="8" t="s">
        <v>507</v>
      </c>
      <c r="V67" s="8" t="s">
        <v>507</v>
      </c>
      <c r="W67" s="10">
        <v>500</v>
      </c>
      <c r="X67" s="11" t="s">
        <v>513</v>
      </c>
      <c r="Y67" s="11" t="s">
        <v>475</v>
      </c>
      <c r="Z67" s="11" t="s">
        <v>514</v>
      </c>
    </row>
    <row r="68" ht="51" customHeight="1" spans="1:26">
      <c r="A68" s="8" t="s">
        <v>50</v>
      </c>
      <c r="B68" s="8" t="s">
        <v>51</v>
      </c>
      <c r="C68" s="8" t="s">
        <v>515</v>
      </c>
      <c r="D68" s="8" t="s">
        <v>267</v>
      </c>
      <c r="E68" s="8" t="s">
        <v>268</v>
      </c>
      <c r="F68" s="8" t="s">
        <v>269</v>
      </c>
      <c r="G68" s="8" t="s">
        <v>90</v>
      </c>
      <c r="H68" s="8" t="s">
        <v>90</v>
      </c>
      <c r="I68" s="8" t="s">
        <v>90</v>
      </c>
      <c r="J68" s="8" t="s">
        <v>270</v>
      </c>
      <c r="K68" s="8">
        <v>4</v>
      </c>
      <c r="L68" s="8">
        <v>8</v>
      </c>
      <c r="M68" s="8">
        <v>12</v>
      </c>
      <c r="N68" s="9">
        <v>256</v>
      </c>
      <c r="O68" s="9">
        <v>216</v>
      </c>
      <c r="P68" s="9">
        <v>220</v>
      </c>
      <c r="Q68" s="9">
        <v>240</v>
      </c>
      <c r="R68" s="9">
        <v>168</v>
      </c>
      <c r="S68" s="9"/>
      <c r="T68" s="8"/>
      <c r="U68" s="8" t="s">
        <v>272</v>
      </c>
      <c r="V68" s="8" t="s">
        <v>272</v>
      </c>
      <c r="W68" s="10">
        <v>200</v>
      </c>
      <c r="X68" s="11" t="s">
        <v>516</v>
      </c>
      <c r="Y68" s="11" t="s">
        <v>517</v>
      </c>
      <c r="Z68" s="11" t="s">
        <v>518</v>
      </c>
    </row>
    <row r="69" ht="51" customHeight="1" spans="1:26">
      <c r="A69" s="8" t="s">
        <v>50</v>
      </c>
      <c r="B69" s="8" t="s">
        <v>51</v>
      </c>
      <c r="C69" s="8" t="s">
        <v>519</v>
      </c>
      <c r="D69" s="8" t="s">
        <v>267</v>
      </c>
      <c r="E69" s="8" t="s">
        <v>520</v>
      </c>
      <c r="F69" s="8" t="s">
        <v>287</v>
      </c>
      <c r="G69" s="8" t="s">
        <v>90</v>
      </c>
      <c r="H69" s="8" t="s">
        <v>90</v>
      </c>
      <c r="I69" s="8" t="s">
        <v>90</v>
      </c>
      <c r="J69" s="8" t="s">
        <v>347</v>
      </c>
      <c r="K69" s="8">
        <v>4</v>
      </c>
      <c r="L69" s="8">
        <v>4</v>
      </c>
      <c r="M69" s="8">
        <v>8</v>
      </c>
      <c r="N69" s="9">
        <v>84</v>
      </c>
      <c r="O69" s="9">
        <v>80</v>
      </c>
      <c r="P69" s="9">
        <v>20</v>
      </c>
      <c r="Q69" s="9">
        <v>100</v>
      </c>
      <c r="R69" s="9">
        <v>56</v>
      </c>
      <c r="S69" s="9"/>
      <c r="T69" s="8"/>
      <c r="U69" s="8" t="s">
        <v>280</v>
      </c>
      <c r="V69" s="8" t="s">
        <v>271</v>
      </c>
      <c r="W69" s="10">
        <v>80</v>
      </c>
      <c r="X69" s="11" t="s">
        <v>492</v>
      </c>
      <c r="Y69" s="11" t="s">
        <v>521</v>
      </c>
      <c r="Z69" s="11" t="s">
        <v>522</v>
      </c>
    </row>
    <row r="70" ht="51" customHeight="1" spans="1:26">
      <c r="A70" s="8" t="s">
        <v>50</v>
      </c>
      <c r="B70" s="8" t="s">
        <v>51</v>
      </c>
      <c r="C70" s="8" t="s">
        <v>523</v>
      </c>
      <c r="D70" s="8" t="s">
        <v>267</v>
      </c>
      <c r="E70" s="8" t="s">
        <v>286</v>
      </c>
      <c r="F70" s="8" t="s">
        <v>287</v>
      </c>
      <c r="G70" s="8" t="s">
        <v>90</v>
      </c>
      <c r="H70" s="8" t="s">
        <v>90</v>
      </c>
      <c r="I70" s="8" t="s">
        <v>90</v>
      </c>
      <c r="J70" s="8" t="s">
        <v>279</v>
      </c>
      <c r="K70" s="8">
        <v>0</v>
      </c>
      <c r="L70" s="8">
        <v>12</v>
      </c>
      <c r="M70" s="8">
        <v>12</v>
      </c>
      <c r="N70" s="9">
        <v>68</v>
      </c>
      <c r="O70" s="9">
        <v>100</v>
      </c>
      <c r="P70" s="9">
        <v>84</v>
      </c>
      <c r="Q70" s="9">
        <v>52</v>
      </c>
      <c r="R70" s="9">
        <v>44</v>
      </c>
      <c r="S70" s="9"/>
      <c r="T70" s="8"/>
      <c r="U70" s="8" t="s">
        <v>280</v>
      </c>
      <c r="V70" s="8" t="s">
        <v>271</v>
      </c>
      <c r="W70" s="10">
        <v>80</v>
      </c>
      <c r="X70" s="11" t="s">
        <v>524</v>
      </c>
      <c r="Y70" s="11" t="s">
        <v>525</v>
      </c>
      <c r="Z70" s="11" t="s">
        <v>526</v>
      </c>
    </row>
    <row r="71" ht="51" customHeight="1" spans="1:26">
      <c r="A71" s="8" t="s">
        <v>50</v>
      </c>
      <c r="B71" s="8" t="s">
        <v>51</v>
      </c>
      <c r="C71" s="8" t="s">
        <v>527</v>
      </c>
      <c r="D71" s="8" t="s">
        <v>267</v>
      </c>
      <c r="E71" s="8" t="s">
        <v>277</v>
      </c>
      <c r="F71" s="8" t="s">
        <v>278</v>
      </c>
      <c r="G71" s="8" t="s">
        <v>90</v>
      </c>
      <c r="H71" s="8" t="s">
        <v>90</v>
      </c>
      <c r="I71" s="8" t="s">
        <v>90</v>
      </c>
      <c r="J71" s="8" t="s">
        <v>279</v>
      </c>
      <c r="K71" s="8">
        <v>0</v>
      </c>
      <c r="L71" s="8">
        <v>12</v>
      </c>
      <c r="M71" s="8">
        <v>12</v>
      </c>
      <c r="N71" s="9">
        <v>8</v>
      </c>
      <c r="O71" s="9">
        <v>20</v>
      </c>
      <c r="P71" s="9">
        <v>8</v>
      </c>
      <c r="Q71" s="9">
        <v>12</v>
      </c>
      <c r="R71" s="9">
        <v>32</v>
      </c>
      <c r="S71" s="9"/>
      <c r="T71" s="8"/>
      <c r="U71" s="8" t="s">
        <v>280</v>
      </c>
      <c r="V71" s="8" t="s">
        <v>280</v>
      </c>
      <c r="W71" s="10">
        <v>40</v>
      </c>
      <c r="X71" s="11" t="s">
        <v>504</v>
      </c>
      <c r="Y71" s="11" t="s">
        <v>466</v>
      </c>
      <c r="Z71" s="11" t="s">
        <v>464</v>
      </c>
    </row>
    <row r="72" ht="51" customHeight="1" spans="1:26">
      <c r="A72" s="8" t="s">
        <v>50</v>
      </c>
      <c r="B72" s="8" t="s">
        <v>51</v>
      </c>
      <c r="C72" s="8" t="s">
        <v>528</v>
      </c>
      <c r="D72" s="8" t="s">
        <v>285</v>
      </c>
      <c r="E72" s="8" t="s">
        <v>286</v>
      </c>
      <c r="F72" s="8" t="s">
        <v>287</v>
      </c>
      <c r="G72" s="8" t="s">
        <v>90</v>
      </c>
      <c r="H72" s="8" t="s">
        <v>90</v>
      </c>
      <c r="I72" s="8" t="s">
        <v>90</v>
      </c>
      <c r="J72" s="8" t="s">
        <v>279</v>
      </c>
      <c r="K72" s="8">
        <v>0</v>
      </c>
      <c r="L72" s="8">
        <v>16</v>
      </c>
      <c r="M72" s="8">
        <v>16</v>
      </c>
      <c r="N72" s="9">
        <v>44</v>
      </c>
      <c r="O72" s="9">
        <v>56</v>
      </c>
      <c r="P72" s="9">
        <v>52</v>
      </c>
      <c r="Q72" s="9">
        <v>48</v>
      </c>
      <c r="R72" s="9">
        <v>28</v>
      </c>
      <c r="S72" s="9"/>
      <c r="T72" s="8"/>
      <c r="U72" s="8" t="s">
        <v>288</v>
      </c>
      <c r="V72" s="8" t="s">
        <v>280</v>
      </c>
      <c r="W72" s="10">
        <v>40</v>
      </c>
      <c r="X72" s="11" t="s">
        <v>484</v>
      </c>
      <c r="Y72" s="11" t="s">
        <v>529</v>
      </c>
      <c r="Z72" s="11" t="s">
        <v>530</v>
      </c>
    </row>
    <row r="73" ht="51" customHeight="1" spans="1:26">
      <c r="A73" s="8" t="s">
        <v>50</v>
      </c>
      <c r="B73" s="8" t="s">
        <v>51</v>
      </c>
      <c r="C73" s="8" t="s">
        <v>531</v>
      </c>
      <c r="D73" s="8" t="s">
        <v>267</v>
      </c>
      <c r="E73" s="8" t="s">
        <v>286</v>
      </c>
      <c r="F73" s="8" t="s">
        <v>287</v>
      </c>
      <c r="G73" s="8" t="s">
        <v>90</v>
      </c>
      <c r="H73" s="8" t="s">
        <v>90</v>
      </c>
      <c r="I73" s="8" t="s">
        <v>90</v>
      </c>
      <c r="J73" s="8" t="s">
        <v>279</v>
      </c>
      <c r="K73" s="8">
        <v>0</v>
      </c>
      <c r="L73" s="8">
        <v>8</v>
      </c>
      <c r="M73" s="8">
        <v>8</v>
      </c>
      <c r="N73" s="9">
        <v>0</v>
      </c>
      <c r="O73" s="9">
        <v>4</v>
      </c>
      <c r="P73" s="9">
        <v>20</v>
      </c>
      <c r="Q73" s="9">
        <v>20</v>
      </c>
      <c r="R73" s="9">
        <v>24</v>
      </c>
      <c r="S73" s="9"/>
      <c r="T73" s="8"/>
      <c r="U73" s="8" t="s">
        <v>288</v>
      </c>
      <c r="V73" s="8" t="s">
        <v>280</v>
      </c>
      <c r="W73" s="10">
        <v>40</v>
      </c>
      <c r="X73" s="11" t="s">
        <v>532</v>
      </c>
      <c r="Y73" s="11" t="s">
        <v>533</v>
      </c>
      <c r="Z73" s="11" t="s">
        <v>534</v>
      </c>
    </row>
    <row r="74" ht="71" customHeight="1" spans="1:26">
      <c r="A74" s="8" t="s">
        <v>50</v>
      </c>
      <c r="B74" s="8" t="s">
        <v>51</v>
      </c>
      <c r="C74" s="8" t="s">
        <v>535</v>
      </c>
      <c r="D74" s="8" t="s">
        <v>267</v>
      </c>
      <c r="E74" s="8" t="s">
        <v>277</v>
      </c>
      <c r="F74" s="8" t="s">
        <v>278</v>
      </c>
      <c r="G74" s="8" t="s">
        <v>90</v>
      </c>
      <c r="H74" s="8" t="s">
        <v>73</v>
      </c>
      <c r="I74" s="8" t="s">
        <v>73</v>
      </c>
      <c r="J74" s="8" t="s">
        <v>279</v>
      </c>
      <c r="K74" s="8">
        <v>0</v>
      </c>
      <c r="L74" s="8">
        <v>8</v>
      </c>
      <c r="M74" s="8">
        <v>8</v>
      </c>
      <c r="N74" s="9">
        <v>4</v>
      </c>
      <c r="O74" s="9">
        <v>4</v>
      </c>
      <c r="P74" s="9">
        <v>12</v>
      </c>
      <c r="Q74" s="9">
        <v>16</v>
      </c>
      <c r="R74" s="9">
        <v>16</v>
      </c>
      <c r="S74" s="9"/>
      <c r="T74" s="8"/>
      <c r="U74" s="8" t="s">
        <v>288</v>
      </c>
      <c r="V74" s="8" t="s">
        <v>288</v>
      </c>
      <c r="W74" s="10">
        <v>20</v>
      </c>
      <c r="X74" s="11" t="s">
        <v>532</v>
      </c>
      <c r="Y74" s="11" t="s">
        <v>470</v>
      </c>
      <c r="Z74" s="11" t="s">
        <v>482</v>
      </c>
    </row>
    <row r="75" ht="59" customHeight="1" spans="1:26">
      <c r="A75" s="8" t="s">
        <v>50</v>
      </c>
      <c r="B75" s="8" t="s">
        <v>51</v>
      </c>
      <c r="C75" s="8" t="s">
        <v>536</v>
      </c>
      <c r="D75" s="8" t="s">
        <v>267</v>
      </c>
      <c r="E75" s="8" t="s">
        <v>277</v>
      </c>
      <c r="F75" s="8" t="s">
        <v>278</v>
      </c>
      <c r="G75" s="8" t="s">
        <v>90</v>
      </c>
      <c r="H75" s="8" t="s">
        <v>90</v>
      </c>
      <c r="I75" s="8" t="s">
        <v>90</v>
      </c>
      <c r="J75" s="8" t="s">
        <v>279</v>
      </c>
      <c r="K75" s="8">
        <v>0</v>
      </c>
      <c r="L75" s="8">
        <v>12</v>
      </c>
      <c r="M75" s="8">
        <v>12</v>
      </c>
      <c r="N75" s="9">
        <v>8</v>
      </c>
      <c r="O75" s="9">
        <v>4</v>
      </c>
      <c r="P75" s="9">
        <v>4</v>
      </c>
      <c r="Q75" s="9">
        <v>12</v>
      </c>
      <c r="R75" s="9">
        <v>12</v>
      </c>
      <c r="S75" s="9"/>
      <c r="T75" s="8"/>
      <c r="U75" s="8" t="s">
        <v>288</v>
      </c>
      <c r="V75" s="8" t="s">
        <v>280</v>
      </c>
      <c r="W75" s="10">
        <v>20</v>
      </c>
      <c r="X75" s="11" t="s">
        <v>537</v>
      </c>
      <c r="Y75" s="11" t="s">
        <v>538</v>
      </c>
      <c r="Z75" s="11" t="s">
        <v>505</v>
      </c>
    </row>
    <row r="76" ht="46" customHeight="1" spans="1:26">
      <c r="A76" s="8" t="s">
        <v>50</v>
      </c>
      <c r="B76" s="8" t="s">
        <v>51</v>
      </c>
      <c r="C76" s="8" t="s">
        <v>539</v>
      </c>
      <c r="D76" s="8" t="s">
        <v>285</v>
      </c>
      <c r="E76" s="8" t="s">
        <v>286</v>
      </c>
      <c r="F76" s="8" t="s">
        <v>287</v>
      </c>
      <c r="G76" s="8" t="s">
        <v>90</v>
      </c>
      <c r="H76" s="8" t="s">
        <v>90</v>
      </c>
      <c r="I76" s="8" t="s">
        <v>90</v>
      </c>
      <c r="J76" s="8" t="s">
        <v>293</v>
      </c>
      <c r="K76" s="8">
        <v>4</v>
      </c>
      <c r="L76" s="8">
        <v>4</v>
      </c>
      <c r="M76" s="8">
        <v>8</v>
      </c>
      <c r="N76" s="9">
        <v>0</v>
      </c>
      <c r="O76" s="9">
        <v>0</v>
      </c>
      <c r="P76" s="9">
        <v>0</v>
      </c>
      <c r="Q76" s="9">
        <v>0</v>
      </c>
      <c r="R76" s="9">
        <v>8</v>
      </c>
      <c r="S76" s="9"/>
      <c r="T76" s="8"/>
      <c r="U76" s="8" t="s">
        <v>288</v>
      </c>
      <c r="V76" s="8" t="s">
        <v>288</v>
      </c>
      <c r="W76" s="10">
        <v>20</v>
      </c>
      <c r="X76" s="11" t="s">
        <v>540</v>
      </c>
      <c r="Y76" s="11" t="s">
        <v>541</v>
      </c>
      <c r="Z76" s="11" t="s">
        <v>542</v>
      </c>
    </row>
    <row r="77" ht="31" customHeight="1" spans="1:26">
      <c r="A77" s="8" t="s">
        <v>50</v>
      </c>
      <c r="B77" s="8" t="s">
        <v>51</v>
      </c>
      <c r="C77" s="8" t="s">
        <v>543</v>
      </c>
      <c r="D77" s="8" t="s">
        <v>267</v>
      </c>
      <c r="E77" s="8" t="s">
        <v>277</v>
      </c>
      <c r="F77" s="8" t="s">
        <v>278</v>
      </c>
      <c r="G77" s="8" t="s">
        <v>90</v>
      </c>
      <c r="H77" s="8" t="s">
        <v>90</v>
      </c>
      <c r="I77" s="8" t="s">
        <v>90</v>
      </c>
      <c r="J77" s="8" t="s">
        <v>279</v>
      </c>
      <c r="K77" s="8">
        <v>0</v>
      </c>
      <c r="L77" s="8">
        <v>8</v>
      </c>
      <c r="M77" s="8">
        <v>8</v>
      </c>
      <c r="N77" s="9">
        <v>8</v>
      </c>
      <c r="O77" s="9">
        <v>4</v>
      </c>
      <c r="P77" s="9">
        <v>4</v>
      </c>
      <c r="Q77" s="9">
        <v>12</v>
      </c>
      <c r="R77" s="9">
        <v>8</v>
      </c>
      <c r="S77" s="9"/>
      <c r="T77" s="8"/>
      <c r="U77" s="8" t="s">
        <v>288</v>
      </c>
      <c r="V77" s="8" t="s">
        <v>280</v>
      </c>
      <c r="W77" s="10">
        <v>20</v>
      </c>
      <c r="X77" s="11" t="s">
        <v>544</v>
      </c>
      <c r="Y77" s="11" t="s">
        <v>545</v>
      </c>
      <c r="Z77" s="11" t="s">
        <v>546</v>
      </c>
    </row>
    <row r="78" ht="31" customHeight="1" spans="1:26">
      <c r="A78" s="8" t="s">
        <v>50</v>
      </c>
      <c r="B78" s="8" t="s">
        <v>51</v>
      </c>
      <c r="C78" s="8" t="s">
        <v>547</v>
      </c>
      <c r="D78" s="8" t="s">
        <v>267</v>
      </c>
      <c r="E78" s="8" t="s">
        <v>277</v>
      </c>
      <c r="F78" s="8" t="s">
        <v>278</v>
      </c>
      <c r="G78" s="8" t="s">
        <v>90</v>
      </c>
      <c r="H78" s="8" t="s">
        <v>90</v>
      </c>
      <c r="I78" s="8" t="s">
        <v>90</v>
      </c>
      <c r="J78" s="8" t="s">
        <v>279</v>
      </c>
      <c r="K78" s="8">
        <v>0</v>
      </c>
      <c r="L78" s="8">
        <v>8</v>
      </c>
      <c r="M78" s="8">
        <v>8</v>
      </c>
      <c r="N78" s="9">
        <v>0</v>
      </c>
      <c r="O78" s="9">
        <v>8</v>
      </c>
      <c r="P78" s="9">
        <v>4</v>
      </c>
      <c r="Q78" s="9">
        <v>8</v>
      </c>
      <c r="R78" s="9">
        <v>8</v>
      </c>
      <c r="S78" s="9"/>
      <c r="T78" s="8"/>
      <c r="U78" s="8" t="s">
        <v>288</v>
      </c>
      <c r="V78" s="8" t="s">
        <v>280</v>
      </c>
      <c r="W78" s="10">
        <v>12</v>
      </c>
      <c r="X78" s="11" t="s">
        <v>532</v>
      </c>
      <c r="Y78" s="11" t="s">
        <v>470</v>
      </c>
      <c r="Z78" s="11" t="s">
        <v>482</v>
      </c>
    </row>
    <row r="79" ht="31" customHeight="1" spans="1:26">
      <c r="A79" s="8" t="s">
        <v>50</v>
      </c>
      <c r="B79" s="8" t="s">
        <v>51</v>
      </c>
      <c r="C79" s="8" t="s">
        <v>548</v>
      </c>
      <c r="D79" s="8" t="s">
        <v>267</v>
      </c>
      <c r="E79" s="8" t="s">
        <v>277</v>
      </c>
      <c r="F79" s="8" t="s">
        <v>278</v>
      </c>
      <c r="G79" s="8" t="s">
        <v>90</v>
      </c>
      <c r="H79" s="8" t="s">
        <v>73</v>
      </c>
      <c r="I79" s="8" t="s">
        <v>73</v>
      </c>
      <c r="J79" s="8" t="s">
        <v>279</v>
      </c>
      <c r="K79" s="8">
        <v>0</v>
      </c>
      <c r="L79" s="8">
        <v>8</v>
      </c>
      <c r="M79" s="8">
        <v>8</v>
      </c>
      <c r="N79" s="9">
        <v>0</v>
      </c>
      <c r="O79" s="9">
        <v>0</v>
      </c>
      <c r="P79" s="9">
        <v>0</v>
      </c>
      <c r="Q79" s="9">
        <v>0</v>
      </c>
      <c r="R79" s="9">
        <v>8</v>
      </c>
      <c r="S79" s="9"/>
      <c r="T79" s="8"/>
      <c r="U79" s="8" t="s">
        <v>288</v>
      </c>
      <c r="V79" s="8" t="s">
        <v>280</v>
      </c>
      <c r="W79" s="10">
        <v>80</v>
      </c>
      <c r="X79" s="11" t="s">
        <v>504</v>
      </c>
      <c r="Y79" s="11" t="s">
        <v>549</v>
      </c>
      <c r="Z79" s="11" t="s">
        <v>550</v>
      </c>
    </row>
    <row r="80" spans="1:26">
      <c r="A80" s="8" t="s">
        <v>50</v>
      </c>
      <c r="B80" s="8" t="s">
        <v>51</v>
      </c>
      <c r="C80" s="8" t="s">
        <v>551</v>
      </c>
      <c r="D80" s="8" t="s">
        <v>285</v>
      </c>
      <c r="E80" s="8" t="s">
        <v>286</v>
      </c>
      <c r="F80" s="8" t="s">
        <v>287</v>
      </c>
      <c r="G80" s="8" t="s">
        <v>90</v>
      </c>
      <c r="H80" s="8" t="s">
        <v>90</v>
      </c>
      <c r="I80" s="8" t="s">
        <v>90</v>
      </c>
      <c r="J80" s="8" t="s">
        <v>279</v>
      </c>
      <c r="K80" s="8">
        <v>0</v>
      </c>
      <c r="L80" s="8">
        <v>8</v>
      </c>
      <c r="M80" s="8">
        <v>8</v>
      </c>
      <c r="N80" s="9">
        <v>0</v>
      </c>
      <c r="O80" s="9">
        <v>0</v>
      </c>
      <c r="P80" s="9">
        <v>0</v>
      </c>
      <c r="Q80" s="9">
        <v>0</v>
      </c>
      <c r="R80" s="9">
        <v>8</v>
      </c>
      <c r="S80" s="9"/>
      <c r="T80" s="8"/>
      <c r="U80" s="8" t="s">
        <v>288</v>
      </c>
      <c r="V80" s="8" t="s">
        <v>280</v>
      </c>
      <c r="W80" s="10">
        <v>4</v>
      </c>
      <c r="X80" s="11" t="s">
        <v>489</v>
      </c>
      <c r="Y80" s="11" t="s">
        <v>470</v>
      </c>
      <c r="Z80" s="11" t="s">
        <v>552</v>
      </c>
    </row>
    <row r="81" ht="46" spans="1:26">
      <c r="A81" s="8" t="s">
        <v>50</v>
      </c>
      <c r="B81" s="8" t="s">
        <v>51</v>
      </c>
      <c r="C81" s="8" t="s">
        <v>553</v>
      </c>
      <c r="D81" s="8" t="s">
        <v>285</v>
      </c>
      <c r="E81" s="8" t="s">
        <v>286</v>
      </c>
      <c r="F81" s="8" t="s">
        <v>287</v>
      </c>
      <c r="G81" s="8" t="s">
        <v>90</v>
      </c>
      <c r="H81" s="8" t="s">
        <v>90</v>
      </c>
      <c r="I81" s="8" t="s">
        <v>90</v>
      </c>
      <c r="J81" s="8" t="s">
        <v>279</v>
      </c>
      <c r="K81" s="8">
        <v>0</v>
      </c>
      <c r="L81" s="8">
        <v>8</v>
      </c>
      <c r="M81" s="8">
        <v>8</v>
      </c>
      <c r="N81" s="9">
        <v>0</v>
      </c>
      <c r="O81" s="9">
        <v>0</v>
      </c>
      <c r="P81" s="9">
        <v>0</v>
      </c>
      <c r="Q81" s="9">
        <v>0</v>
      </c>
      <c r="R81" s="9">
        <v>4</v>
      </c>
      <c r="S81" s="9"/>
      <c r="T81" s="8"/>
      <c r="U81" s="8" t="s">
        <v>288</v>
      </c>
      <c r="V81" s="8" t="s">
        <v>288</v>
      </c>
      <c r="W81" s="10">
        <v>8</v>
      </c>
      <c r="X81" s="11" t="s">
        <v>495</v>
      </c>
      <c r="Y81" s="11" t="s">
        <v>554</v>
      </c>
      <c r="Z81" s="11" t="s">
        <v>485</v>
      </c>
    </row>
    <row r="82" ht="31" customHeight="1" spans="1:26">
      <c r="A82" s="8" t="s">
        <v>50</v>
      </c>
      <c r="B82" s="8" t="s">
        <v>51</v>
      </c>
      <c r="C82" s="8" t="s">
        <v>555</v>
      </c>
      <c r="D82" s="8" t="s">
        <v>267</v>
      </c>
      <c r="E82" s="8" t="s">
        <v>277</v>
      </c>
      <c r="F82" s="8" t="s">
        <v>278</v>
      </c>
      <c r="G82" s="8" t="s">
        <v>90</v>
      </c>
      <c r="H82" s="8" t="s">
        <v>73</v>
      </c>
      <c r="I82" s="8" t="s">
        <v>73</v>
      </c>
      <c r="J82" s="8" t="s">
        <v>279</v>
      </c>
      <c r="K82" s="8">
        <v>0</v>
      </c>
      <c r="L82" s="8">
        <v>12</v>
      </c>
      <c r="M82" s="8">
        <v>12</v>
      </c>
      <c r="N82" s="9">
        <v>0</v>
      </c>
      <c r="O82" s="9">
        <v>0</v>
      </c>
      <c r="P82" s="9">
        <v>0</v>
      </c>
      <c r="Q82" s="9">
        <v>0</v>
      </c>
      <c r="R82" s="9">
        <v>0</v>
      </c>
      <c r="S82" s="9"/>
      <c r="T82" s="8"/>
      <c r="U82" s="8" t="s">
        <v>301</v>
      </c>
      <c r="V82" s="8" t="s">
        <v>288</v>
      </c>
      <c r="W82" s="10">
        <v>4</v>
      </c>
      <c r="X82" s="11" t="s">
        <v>556</v>
      </c>
      <c r="Y82" s="11" t="s">
        <v>557</v>
      </c>
      <c r="Z82" s="11" t="s">
        <v>558</v>
      </c>
    </row>
    <row r="83" ht="46" spans="1:26">
      <c r="A83" s="8" t="s">
        <v>50</v>
      </c>
      <c r="B83" s="8" t="s">
        <v>51</v>
      </c>
      <c r="C83" s="8" t="s">
        <v>559</v>
      </c>
      <c r="D83" s="8" t="s">
        <v>384</v>
      </c>
      <c r="E83" s="8" t="s">
        <v>277</v>
      </c>
      <c r="F83" s="8" t="s">
        <v>338</v>
      </c>
      <c r="G83" s="8" t="s">
        <v>90</v>
      </c>
      <c r="H83" s="8" t="s">
        <v>73</v>
      </c>
      <c r="I83" s="8" t="s">
        <v>73</v>
      </c>
      <c r="J83" s="8" t="s">
        <v>279</v>
      </c>
      <c r="K83" s="8">
        <v>0</v>
      </c>
      <c r="L83" s="8">
        <v>8</v>
      </c>
      <c r="M83" s="8">
        <v>8</v>
      </c>
      <c r="N83" s="9">
        <v>0</v>
      </c>
      <c r="O83" s="9">
        <v>0</v>
      </c>
      <c r="P83" s="9">
        <v>0</v>
      </c>
      <c r="Q83" s="9">
        <v>0</v>
      </c>
      <c r="R83" s="9">
        <v>0</v>
      </c>
      <c r="S83" s="9"/>
      <c r="T83" s="8"/>
      <c r="U83" s="8" t="s">
        <v>301</v>
      </c>
      <c r="V83" s="8" t="s">
        <v>288</v>
      </c>
      <c r="W83" s="10">
        <v>4</v>
      </c>
      <c r="X83" s="11" t="s">
        <v>560</v>
      </c>
      <c r="Y83" s="11" t="s">
        <v>561</v>
      </c>
      <c r="Z83" s="11" t="s">
        <v>562</v>
      </c>
    </row>
    <row r="84" ht="31" customHeight="1" spans="1:26">
      <c r="A84" s="8" t="s">
        <v>50</v>
      </c>
      <c r="B84" s="8" t="s">
        <v>51</v>
      </c>
      <c r="C84" s="8" t="s">
        <v>563</v>
      </c>
      <c r="D84" s="8" t="s">
        <v>267</v>
      </c>
      <c r="E84" s="8" t="s">
        <v>277</v>
      </c>
      <c r="F84" s="8" t="s">
        <v>278</v>
      </c>
      <c r="G84" s="8" t="s">
        <v>90</v>
      </c>
      <c r="H84" s="8" t="s">
        <v>73</v>
      </c>
      <c r="I84" s="8" t="s">
        <v>73</v>
      </c>
      <c r="J84" s="8" t="s">
        <v>279</v>
      </c>
      <c r="K84" s="8">
        <v>0</v>
      </c>
      <c r="L84" s="8">
        <v>8</v>
      </c>
      <c r="M84" s="8">
        <v>8</v>
      </c>
      <c r="N84" s="9">
        <v>0</v>
      </c>
      <c r="O84" s="9">
        <v>0</v>
      </c>
      <c r="P84" s="9">
        <v>0</v>
      </c>
      <c r="Q84" s="9">
        <v>4</v>
      </c>
      <c r="R84" s="9">
        <v>0</v>
      </c>
      <c r="S84" s="9"/>
      <c r="T84" s="8"/>
      <c r="U84" s="8" t="s">
        <v>301</v>
      </c>
      <c r="V84" s="8" t="s">
        <v>288</v>
      </c>
      <c r="W84" s="10">
        <v>4</v>
      </c>
      <c r="X84" s="11" t="s">
        <v>532</v>
      </c>
      <c r="Y84" s="11" t="s">
        <v>470</v>
      </c>
      <c r="Z84" s="11" t="s">
        <v>482</v>
      </c>
    </row>
    <row r="85" ht="46" customHeight="1" spans="1:26">
      <c r="A85" s="8" t="s">
        <v>50</v>
      </c>
      <c r="B85" s="8" t="s">
        <v>51</v>
      </c>
      <c r="C85" s="8" t="s">
        <v>564</v>
      </c>
      <c r="D85" s="8" t="s">
        <v>384</v>
      </c>
      <c r="E85" s="8" t="s">
        <v>277</v>
      </c>
      <c r="F85" s="8" t="s">
        <v>338</v>
      </c>
      <c r="G85" s="8" t="s">
        <v>90</v>
      </c>
      <c r="H85" s="8" t="s">
        <v>73</v>
      </c>
      <c r="I85" s="8" t="s">
        <v>73</v>
      </c>
      <c r="J85" s="8" t="s">
        <v>279</v>
      </c>
      <c r="K85" s="8">
        <v>0</v>
      </c>
      <c r="L85" s="8">
        <v>8</v>
      </c>
      <c r="M85" s="8">
        <v>8</v>
      </c>
      <c r="N85" s="9">
        <v>0</v>
      </c>
      <c r="O85" s="9">
        <v>0</v>
      </c>
      <c r="P85" s="9">
        <v>0</v>
      </c>
      <c r="Q85" s="9">
        <v>0</v>
      </c>
      <c r="R85" s="9">
        <v>0</v>
      </c>
      <c r="S85" s="9"/>
      <c r="T85" s="8"/>
      <c r="U85" s="8" t="s">
        <v>288</v>
      </c>
      <c r="V85" s="8" t="s">
        <v>288</v>
      </c>
      <c r="W85" s="10">
        <v>4</v>
      </c>
      <c r="X85" s="11" t="s">
        <v>565</v>
      </c>
      <c r="Y85" s="11" t="s">
        <v>566</v>
      </c>
      <c r="Z85" s="11" t="s">
        <v>562</v>
      </c>
    </row>
    <row r="86" ht="46" spans="1:26">
      <c r="A86" s="8" t="s">
        <v>50</v>
      </c>
      <c r="B86" s="8" t="s">
        <v>51</v>
      </c>
      <c r="C86" s="8" t="s">
        <v>567</v>
      </c>
      <c r="D86" s="8" t="s">
        <v>267</v>
      </c>
      <c r="E86" s="8" t="s">
        <v>277</v>
      </c>
      <c r="F86" s="8" t="s">
        <v>278</v>
      </c>
      <c r="G86" s="8" t="s">
        <v>90</v>
      </c>
      <c r="H86" s="8" t="s">
        <v>73</v>
      </c>
      <c r="I86" s="8" t="s">
        <v>73</v>
      </c>
      <c r="J86" s="8" t="s">
        <v>279</v>
      </c>
      <c r="K86" s="8">
        <v>0</v>
      </c>
      <c r="L86" s="8">
        <v>8</v>
      </c>
      <c r="M86" s="8">
        <v>8</v>
      </c>
      <c r="N86" s="9">
        <v>0</v>
      </c>
      <c r="O86" s="9">
        <v>0</v>
      </c>
      <c r="P86" s="9">
        <v>0</v>
      </c>
      <c r="Q86" s="9">
        <v>4</v>
      </c>
      <c r="R86" s="9">
        <v>0</v>
      </c>
      <c r="S86" s="9"/>
      <c r="T86" s="8"/>
      <c r="U86" s="8" t="s">
        <v>301</v>
      </c>
      <c r="V86" s="8" t="s">
        <v>288</v>
      </c>
      <c r="W86" s="10">
        <v>4</v>
      </c>
      <c r="X86" s="11" t="s">
        <v>532</v>
      </c>
      <c r="Y86" s="11" t="s">
        <v>470</v>
      </c>
      <c r="Z86" s="11" t="s">
        <v>568</v>
      </c>
    </row>
    <row r="87" ht="46" spans="1:26">
      <c r="A87" s="8" t="s">
        <v>50</v>
      </c>
      <c r="B87" s="8" t="s">
        <v>51</v>
      </c>
      <c r="C87" s="8" t="s">
        <v>569</v>
      </c>
      <c r="D87" s="8" t="s">
        <v>267</v>
      </c>
      <c r="E87" s="8" t="s">
        <v>277</v>
      </c>
      <c r="F87" s="8" t="s">
        <v>278</v>
      </c>
      <c r="G87" s="8" t="s">
        <v>90</v>
      </c>
      <c r="H87" s="8" t="s">
        <v>73</v>
      </c>
      <c r="I87" s="8" t="s">
        <v>73</v>
      </c>
      <c r="J87" s="8" t="s">
        <v>279</v>
      </c>
      <c r="K87" s="8">
        <v>0</v>
      </c>
      <c r="L87" s="8">
        <v>12</v>
      </c>
      <c r="M87" s="8">
        <v>12</v>
      </c>
      <c r="N87" s="9">
        <v>0</v>
      </c>
      <c r="O87" s="9">
        <v>0</v>
      </c>
      <c r="P87" s="9">
        <v>0</v>
      </c>
      <c r="Q87" s="9">
        <v>0</v>
      </c>
      <c r="R87" s="9">
        <v>0</v>
      </c>
      <c r="S87" s="9"/>
      <c r="T87" s="8"/>
      <c r="U87" s="8" t="s">
        <v>301</v>
      </c>
      <c r="V87" s="8" t="s">
        <v>288</v>
      </c>
      <c r="W87" s="10">
        <v>4</v>
      </c>
      <c r="X87" s="11" t="s">
        <v>504</v>
      </c>
      <c r="Y87" s="11" t="s">
        <v>470</v>
      </c>
      <c r="Z87" s="11" t="s">
        <v>490</v>
      </c>
    </row>
    <row r="88" ht="61" spans="1:26">
      <c r="A88" s="8" t="s">
        <v>50</v>
      </c>
      <c r="B88" s="8" t="s">
        <v>51</v>
      </c>
      <c r="C88" s="8" t="s">
        <v>570</v>
      </c>
      <c r="D88" s="8" t="s">
        <v>384</v>
      </c>
      <c r="E88" s="8" t="s">
        <v>277</v>
      </c>
      <c r="F88" s="8" t="s">
        <v>338</v>
      </c>
      <c r="G88" s="8" t="s">
        <v>90</v>
      </c>
      <c r="H88" s="8" t="s">
        <v>73</v>
      </c>
      <c r="I88" s="8" t="s">
        <v>73</v>
      </c>
      <c r="J88" s="8" t="s">
        <v>279</v>
      </c>
      <c r="K88" s="8">
        <v>0</v>
      </c>
      <c r="L88" s="8">
        <v>8</v>
      </c>
      <c r="M88" s="8">
        <v>8</v>
      </c>
      <c r="N88" s="9">
        <v>0</v>
      </c>
      <c r="O88" s="9">
        <v>0</v>
      </c>
      <c r="P88" s="9">
        <v>0</v>
      </c>
      <c r="Q88" s="9">
        <v>0</v>
      </c>
      <c r="R88" s="9">
        <v>0</v>
      </c>
      <c r="S88" s="9"/>
      <c r="T88" s="8"/>
      <c r="U88" s="8" t="s">
        <v>301</v>
      </c>
      <c r="V88" s="8" t="s">
        <v>288</v>
      </c>
      <c r="W88" s="10">
        <v>4</v>
      </c>
      <c r="X88" s="11" t="s">
        <v>571</v>
      </c>
      <c r="Y88" s="11" t="s">
        <v>572</v>
      </c>
      <c r="Z88" s="11" t="s">
        <v>573</v>
      </c>
    </row>
    <row r="89" ht="31" customHeight="1" spans="1:26">
      <c r="A89" s="8" t="s">
        <v>50</v>
      </c>
      <c r="B89" s="8" t="s">
        <v>51</v>
      </c>
      <c r="C89" s="8" t="s">
        <v>574</v>
      </c>
      <c r="D89" s="8" t="s">
        <v>267</v>
      </c>
      <c r="E89" s="8" t="s">
        <v>277</v>
      </c>
      <c r="F89" s="8" t="s">
        <v>278</v>
      </c>
      <c r="G89" s="8" t="s">
        <v>90</v>
      </c>
      <c r="H89" s="8" t="s">
        <v>73</v>
      </c>
      <c r="I89" s="8" t="s">
        <v>73</v>
      </c>
      <c r="J89" s="8" t="s">
        <v>279</v>
      </c>
      <c r="K89" s="8">
        <v>0</v>
      </c>
      <c r="L89" s="8">
        <v>8</v>
      </c>
      <c r="M89" s="8">
        <v>8</v>
      </c>
      <c r="N89" s="9">
        <v>0</v>
      </c>
      <c r="O89" s="9">
        <v>0</v>
      </c>
      <c r="P89" s="9">
        <v>0</v>
      </c>
      <c r="Q89" s="9">
        <v>0</v>
      </c>
      <c r="R89" s="9">
        <v>0</v>
      </c>
      <c r="S89" s="9"/>
      <c r="T89" s="8"/>
      <c r="U89" s="8" t="s">
        <v>301</v>
      </c>
      <c r="V89" s="8" t="s">
        <v>288</v>
      </c>
      <c r="W89" s="10">
        <v>4</v>
      </c>
      <c r="X89" s="11" t="s">
        <v>575</v>
      </c>
      <c r="Y89" s="11" t="s">
        <v>470</v>
      </c>
      <c r="Z89" s="11" t="s">
        <v>502</v>
      </c>
    </row>
    <row r="90" ht="31" customHeight="1" spans="1:26">
      <c r="A90" s="8" t="s">
        <v>50</v>
      </c>
      <c r="B90" s="8" t="s">
        <v>51</v>
      </c>
      <c r="C90" s="8" t="s">
        <v>576</v>
      </c>
      <c r="D90" s="8" t="s">
        <v>267</v>
      </c>
      <c r="E90" s="8" t="s">
        <v>277</v>
      </c>
      <c r="F90" s="8" t="s">
        <v>278</v>
      </c>
      <c r="G90" s="8" t="s">
        <v>90</v>
      </c>
      <c r="H90" s="8" t="s">
        <v>73</v>
      </c>
      <c r="I90" s="8" t="s">
        <v>73</v>
      </c>
      <c r="J90" s="8" t="s">
        <v>279</v>
      </c>
      <c r="K90" s="8">
        <v>0</v>
      </c>
      <c r="L90" s="8">
        <v>8</v>
      </c>
      <c r="M90" s="8">
        <v>2</v>
      </c>
      <c r="N90" s="9">
        <v>0</v>
      </c>
      <c r="O90" s="9">
        <v>0</v>
      </c>
      <c r="P90" s="9">
        <v>4</v>
      </c>
      <c r="Q90" s="9">
        <v>0</v>
      </c>
      <c r="R90" s="9">
        <v>0</v>
      </c>
      <c r="S90" s="9"/>
      <c r="T90" s="8"/>
      <c r="U90" s="8" t="s">
        <v>301</v>
      </c>
      <c r="V90" s="8" t="s">
        <v>288</v>
      </c>
      <c r="W90" s="10">
        <v>4</v>
      </c>
      <c r="X90" s="11" t="s">
        <v>532</v>
      </c>
      <c r="Y90" s="11" t="s">
        <v>470</v>
      </c>
      <c r="Z90" s="11" t="s">
        <v>482</v>
      </c>
    </row>
    <row r="91" ht="23" customHeight="1" spans="1:26">
      <c r="A91" s="8" t="s">
        <v>50</v>
      </c>
      <c r="B91" s="8" t="s">
        <v>51</v>
      </c>
      <c r="C91" s="8" t="s">
        <v>577</v>
      </c>
      <c r="D91" s="8" t="s">
        <v>267</v>
      </c>
      <c r="E91" s="8" t="s">
        <v>286</v>
      </c>
      <c r="F91" s="8" t="s">
        <v>287</v>
      </c>
      <c r="G91" s="8" t="s">
        <v>90</v>
      </c>
      <c r="H91" s="8" t="s">
        <v>90</v>
      </c>
      <c r="I91" s="8" t="s">
        <v>90</v>
      </c>
      <c r="J91" s="8" t="s">
        <v>347</v>
      </c>
      <c r="K91" s="8">
        <v>4</v>
      </c>
      <c r="L91" s="8">
        <v>4</v>
      </c>
      <c r="M91" s="8">
        <v>8</v>
      </c>
      <c r="N91" s="9">
        <v>0</v>
      </c>
      <c r="O91" s="9">
        <v>16</v>
      </c>
      <c r="P91" s="9">
        <v>12</v>
      </c>
      <c r="Q91" s="9">
        <v>4</v>
      </c>
      <c r="R91" s="9">
        <v>0</v>
      </c>
      <c r="S91" s="9"/>
      <c r="T91" s="8"/>
      <c r="U91" s="8" t="s">
        <v>301</v>
      </c>
      <c r="V91" s="8" t="s">
        <v>288</v>
      </c>
      <c r="W91" s="10">
        <v>4</v>
      </c>
      <c r="X91" s="11" t="s">
        <v>501</v>
      </c>
      <c r="Y91" s="11" t="s">
        <v>578</v>
      </c>
      <c r="Z91" s="11" t="s">
        <v>579</v>
      </c>
    </row>
    <row r="92" ht="61" spans="1:26">
      <c r="A92" s="8" t="s">
        <v>50</v>
      </c>
      <c r="B92" s="8" t="s">
        <v>51</v>
      </c>
      <c r="C92" s="8" t="s">
        <v>580</v>
      </c>
      <c r="D92" s="8" t="s">
        <v>267</v>
      </c>
      <c r="E92" s="8" t="s">
        <v>277</v>
      </c>
      <c r="F92" s="8" t="s">
        <v>278</v>
      </c>
      <c r="G92" s="8" t="s">
        <v>90</v>
      </c>
      <c r="H92" s="8" t="s">
        <v>90</v>
      </c>
      <c r="I92" s="8" t="s">
        <v>73</v>
      </c>
      <c r="J92" s="8" t="s">
        <v>279</v>
      </c>
      <c r="K92" s="8">
        <v>0</v>
      </c>
      <c r="L92" s="8">
        <v>8</v>
      </c>
      <c r="M92" s="8">
        <v>8</v>
      </c>
      <c r="N92" s="9">
        <v>4</v>
      </c>
      <c r="O92" s="9">
        <v>8</v>
      </c>
      <c r="P92" s="9">
        <v>12</v>
      </c>
      <c r="Q92" s="9">
        <v>8</v>
      </c>
      <c r="R92" s="9">
        <v>0</v>
      </c>
      <c r="S92" s="9"/>
      <c r="T92" s="8"/>
      <c r="U92" s="8" t="s">
        <v>301</v>
      </c>
      <c r="V92" s="8" t="s">
        <v>288</v>
      </c>
      <c r="W92" s="10">
        <v>4</v>
      </c>
      <c r="X92" s="11" t="s">
        <v>477</v>
      </c>
      <c r="Y92" s="11" t="s">
        <v>581</v>
      </c>
      <c r="Z92" s="11" t="s">
        <v>582</v>
      </c>
    </row>
    <row r="93" ht="31" customHeight="1" spans="1:26">
      <c r="A93" s="8" t="s">
        <v>50</v>
      </c>
      <c r="B93" s="8" t="s">
        <v>51</v>
      </c>
      <c r="C93" s="8" t="s">
        <v>583</v>
      </c>
      <c r="D93" s="8" t="s">
        <v>267</v>
      </c>
      <c r="E93" s="8" t="s">
        <v>268</v>
      </c>
      <c r="F93" s="8" t="s">
        <v>269</v>
      </c>
      <c r="G93" s="8" t="s">
        <v>90</v>
      </c>
      <c r="H93" s="8" t="s">
        <v>90</v>
      </c>
      <c r="I93" s="8" t="s">
        <v>90</v>
      </c>
      <c r="J93" s="8" t="s">
        <v>270</v>
      </c>
      <c r="K93" s="8">
        <v>4</v>
      </c>
      <c r="L93" s="8">
        <v>4</v>
      </c>
      <c r="M93" s="8">
        <v>8</v>
      </c>
      <c r="N93" s="9">
        <v>4</v>
      </c>
      <c r="O93" s="9">
        <v>0</v>
      </c>
      <c r="P93" s="9">
        <v>8</v>
      </c>
      <c r="Q93" s="9">
        <v>8</v>
      </c>
      <c r="R93" s="9">
        <v>0</v>
      </c>
      <c r="S93" s="9"/>
      <c r="T93" s="8"/>
      <c r="U93" s="8" t="s">
        <v>301</v>
      </c>
      <c r="V93" s="8" t="s">
        <v>288</v>
      </c>
      <c r="W93" s="10">
        <v>4</v>
      </c>
      <c r="X93" s="11" t="s">
        <v>584</v>
      </c>
      <c r="Y93" s="11" t="s">
        <v>585</v>
      </c>
      <c r="Z93" s="11" t="s">
        <v>502</v>
      </c>
    </row>
    <row r="94" ht="46" customHeight="1" spans="1:26">
      <c r="A94" s="8" t="s">
        <v>50</v>
      </c>
      <c r="B94" s="8" t="s">
        <v>51</v>
      </c>
      <c r="C94" s="8" t="s">
        <v>586</v>
      </c>
      <c r="D94" s="8" t="s">
        <v>285</v>
      </c>
      <c r="E94" s="8" t="s">
        <v>286</v>
      </c>
      <c r="F94" s="8" t="s">
        <v>287</v>
      </c>
      <c r="G94" s="8" t="s">
        <v>90</v>
      </c>
      <c r="H94" s="8" t="s">
        <v>90</v>
      </c>
      <c r="I94" s="8" t="s">
        <v>90</v>
      </c>
      <c r="J94" s="8" t="s">
        <v>279</v>
      </c>
      <c r="K94" s="8">
        <v>0</v>
      </c>
      <c r="L94" s="8">
        <v>8</v>
      </c>
      <c r="M94" s="8">
        <v>8</v>
      </c>
      <c r="N94" s="9">
        <v>0</v>
      </c>
      <c r="O94" s="9">
        <v>0</v>
      </c>
      <c r="P94" s="9">
        <v>0</v>
      </c>
      <c r="Q94" s="9">
        <v>4</v>
      </c>
      <c r="R94" s="9">
        <v>0</v>
      </c>
      <c r="S94" s="9"/>
      <c r="T94" s="8"/>
      <c r="U94" s="8" t="s">
        <v>301</v>
      </c>
      <c r="V94" s="8" t="s">
        <v>288</v>
      </c>
      <c r="W94" s="10">
        <v>4</v>
      </c>
      <c r="X94" s="11" t="s">
        <v>498</v>
      </c>
      <c r="Y94" s="11" t="s">
        <v>470</v>
      </c>
      <c r="Z94" s="11" t="s">
        <v>499</v>
      </c>
    </row>
    <row r="95" ht="31" customHeight="1" spans="1:26">
      <c r="A95" s="8" t="s">
        <v>50</v>
      </c>
      <c r="B95" s="8" t="s">
        <v>51</v>
      </c>
      <c r="C95" s="8" t="s">
        <v>587</v>
      </c>
      <c r="D95" s="8" t="s">
        <v>285</v>
      </c>
      <c r="E95" s="8" t="s">
        <v>286</v>
      </c>
      <c r="F95" s="8" t="s">
        <v>287</v>
      </c>
      <c r="G95" s="8" t="s">
        <v>90</v>
      </c>
      <c r="H95" s="8" t="s">
        <v>90</v>
      </c>
      <c r="I95" s="8" t="s">
        <v>90</v>
      </c>
      <c r="J95" s="8" t="s">
        <v>279</v>
      </c>
      <c r="K95" s="8">
        <v>0</v>
      </c>
      <c r="L95" s="8">
        <v>8</v>
      </c>
      <c r="M95" s="8">
        <v>8</v>
      </c>
      <c r="N95" s="9">
        <v>0</v>
      </c>
      <c r="O95" s="9">
        <v>0</v>
      </c>
      <c r="P95" s="9">
        <v>0</v>
      </c>
      <c r="Q95" s="9">
        <v>4</v>
      </c>
      <c r="R95" s="9">
        <v>0</v>
      </c>
      <c r="S95" s="9"/>
      <c r="T95" s="8"/>
      <c r="U95" s="8" t="s">
        <v>301</v>
      </c>
      <c r="V95" s="8" t="s">
        <v>288</v>
      </c>
      <c r="W95" s="10">
        <v>4</v>
      </c>
      <c r="X95" s="11" t="s">
        <v>588</v>
      </c>
      <c r="Y95" s="11" t="s">
        <v>589</v>
      </c>
      <c r="Z95" s="11" t="s">
        <v>590</v>
      </c>
    </row>
    <row r="96" ht="61" customHeight="1" spans="1:26">
      <c r="A96" s="8" t="s">
        <v>50</v>
      </c>
      <c r="B96" s="8" t="s">
        <v>51</v>
      </c>
      <c r="C96" s="8" t="s">
        <v>591</v>
      </c>
      <c r="D96" s="8" t="s">
        <v>285</v>
      </c>
      <c r="E96" s="8" t="s">
        <v>286</v>
      </c>
      <c r="F96" s="8" t="s">
        <v>287</v>
      </c>
      <c r="G96" s="8" t="s">
        <v>90</v>
      </c>
      <c r="H96" s="8" t="s">
        <v>90</v>
      </c>
      <c r="I96" s="8" t="s">
        <v>90</v>
      </c>
      <c r="J96" s="8" t="s">
        <v>279</v>
      </c>
      <c r="K96" s="8">
        <v>0</v>
      </c>
      <c r="L96" s="8">
        <v>8</v>
      </c>
      <c r="M96" s="8">
        <v>8</v>
      </c>
      <c r="N96" s="9">
        <v>0</v>
      </c>
      <c r="O96" s="9">
        <v>0</v>
      </c>
      <c r="P96" s="9">
        <v>0</v>
      </c>
      <c r="Q96" s="9">
        <v>0</v>
      </c>
      <c r="R96" s="9">
        <v>0</v>
      </c>
      <c r="S96" s="9"/>
      <c r="T96" s="8"/>
      <c r="U96" s="8" t="s">
        <v>301</v>
      </c>
      <c r="V96" s="8" t="s">
        <v>288</v>
      </c>
      <c r="W96" s="10">
        <v>4</v>
      </c>
      <c r="X96" s="11" t="s">
        <v>592</v>
      </c>
      <c r="Y96" s="11" t="s">
        <v>593</v>
      </c>
      <c r="Z96" s="11" t="s">
        <v>594</v>
      </c>
    </row>
    <row r="97" ht="46" customHeight="1" spans="1:26">
      <c r="A97" s="8" t="s">
        <v>50</v>
      </c>
      <c r="B97" s="8" t="s">
        <v>51</v>
      </c>
      <c r="C97" s="8" t="s">
        <v>595</v>
      </c>
      <c r="D97" s="8" t="s">
        <v>267</v>
      </c>
      <c r="E97" s="8" t="s">
        <v>277</v>
      </c>
      <c r="F97" s="8" t="s">
        <v>278</v>
      </c>
      <c r="G97" s="8" t="s">
        <v>90</v>
      </c>
      <c r="H97" s="8" t="s">
        <v>73</v>
      </c>
      <c r="I97" s="8" t="s">
        <v>73</v>
      </c>
      <c r="J97" s="8" t="s">
        <v>279</v>
      </c>
      <c r="K97" s="8">
        <v>0</v>
      </c>
      <c r="L97" s="8">
        <v>8</v>
      </c>
      <c r="M97" s="8">
        <v>8</v>
      </c>
      <c r="N97" s="9">
        <v>0</v>
      </c>
      <c r="O97" s="9">
        <v>0</v>
      </c>
      <c r="P97" s="9">
        <v>0</v>
      </c>
      <c r="Q97" s="9">
        <v>0</v>
      </c>
      <c r="R97" s="9">
        <v>0</v>
      </c>
      <c r="S97" s="9"/>
      <c r="T97" s="8"/>
      <c r="U97" s="8" t="s">
        <v>301</v>
      </c>
      <c r="V97" s="8" t="s">
        <v>288</v>
      </c>
      <c r="W97" s="10">
        <v>4</v>
      </c>
      <c r="X97" s="11" t="s">
        <v>596</v>
      </c>
      <c r="Y97" s="11" t="s">
        <v>597</v>
      </c>
      <c r="Z97" s="11" t="s">
        <v>482</v>
      </c>
    </row>
    <row r="98" ht="31" customHeight="1" spans="1:26">
      <c r="A98" s="8" t="s">
        <v>50</v>
      </c>
      <c r="B98" s="8" t="s">
        <v>51</v>
      </c>
      <c r="C98" s="8" t="s">
        <v>598</v>
      </c>
      <c r="D98" s="8" t="s">
        <v>267</v>
      </c>
      <c r="E98" s="8" t="s">
        <v>277</v>
      </c>
      <c r="F98" s="8" t="s">
        <v>278</v>
      </c>
      <c r="G98" s="8" t="s">
        <v>90</v>
      </c>
      <c r="H98" s="8" t="s">
        <v>73</v>
      </c>
      <c r="I98" s="8" t="s">
        <v>73</v>
      </c>
      <c r="J98" s="8" t="s">
        <v>279</v>
      </c>
      <c r="K98" s="8">
        <v>0</v>
      </c>
      <c r="L98" s="8">
        <v>8</v>
      </c>
      <c r="M98" s="8">
        <v>8</v>
      </c>
      <c r="N98" s="9">
        <v>0</v>
      </c>
      <c r="O98" s="9">
        <v>0</v>
      </c>
      <c r="P98" s="9">
        <v>0</v>
      </c>
      <c r="Q98" s="9">
        <v>0</v>
      </c>
      <c r="R98" s="9">
        <v>0</v>
      </c>
      <c r="S98" s="9"/>
      <c r="T98" s="8"/>
      <c r="U98" s="8" t="s">
        <v>301</v>
      </c>
      <c r="V98" s="8" t="s">
        <v>288</v>
      </c>
      <c r="W98" s="10">
        <v>4</v>
      </c>
      <c r="X98" s="11" t="s">
        <v>481</v>
      </c>
      <c r="Y98" s="11" t="s">
        <v>599</v>
      </c>
      <c r="Z98" s="11" t="s">
        <v>558</v>
      </c>
    </row>
    <row r="99" ht="46" customHeight="1" spans="1:26">
      <c r="A99" s="8" t="s">
        <v>50</v>
      </c>
      <c r="B99" s="8" t="s">
        <v>51</v>
      </c>
      <c r="C99" s="8" t="s">
        <v>600</v>
      </c>
      <c r="D99" s="8" t="s">
        <v>267</v>
      </c>
      <c r="E99" s="8" t="s">
        <v>277</v>
      </c>
      <c r="F99" s="8" t="s">
        <v>278</v>
      </c>
      <c r="G99" s="8" t="s">
        <v>90</v>
      </c>
      <c r="H99" s="8" t="s">
        <v>73</v>
      </c>
      <c r="I99" s="8" t="s">
        <v>73</v>
      </c>
      <c r="J99" s="8" t="s">
        <v>279</v>
      </c>
      <c r="K99" s="8">
        <v>0</v>
      </c>
      <c r="L99" s="8">
        <v>8</v>
      </c>
      <c r="M99" s="8">
        <v>8</v>
      </c>
      <c r="N99" s="9">
        <v>0</v>
      </c>
      <c r="O99" s="9">
        <v>0</v>
      </c>
      <c r="P99" s="9">
        <v>0</v>
      </c>
      <c r="Q99" s="9">
        <v>0</v>
      </c>
      <c r="R99" s="9">
        <v>0</v>
      </c>
      <c r="S99" s="9"/>
      <c r="T99" s="8"/>
      <c r="U99" s="8" t="s">
        <v>301</v>
      </c>
      <c r="V99" s="8" t="s">
        <v>301</v>
      </c>
      <c r="W99" s="10">
        <v>4</v>
      </c>
      <c r="X99" s="11" t="s">
        <v>584</v>
      </c>
      <c r="Y99" s="11" t="s">
        <v>470</v>
      </c>
      <c r="Z99" s="11" t="s">
        <v>601</v>
      </c>
    </row>
    <row r="100" ht="46" customHeight="1" spans="1:26">
      <c r="A100" s="8" t="s">
        <v>50</v>
      </c>
      <c r="B100" s="8" t="s">
        <v>51</v>
      </c>
      <c r="C100" s="8" t="s">
        <v>602</v>
      </c>
      <c r="D100" s="8" t="s">
        <v>267</v>
      </c>
      <c r="E100" s="8" t="s">
        <v>277</v>
      </c>
      <c r="F100" s="8" t="s">
        <v>278</v>
      </c>
      <c r="G100" s="8" t="s">
        <v>90</v>
      </c>
      <c r="H100" s="8" t="s">
        <v>73</v>
      </c>
      <c r="I100" s="8" t="s">
        <v>73</v>
      </c>
      <c r="J100" s="8" t="s">
        <v>279</v>
      </c>
      <c r="K100" s="8">
        <v>0</v>
      </c>
      <c r="L100" s="8">
        <v>8</v>
      </c>
      <c r="M100" s="8">
        <v>8</v>
      </c>
      <c r="N100" s="9">
        <v>0</v>
      </c>
      <c r="O100" s="9">
        <v>0</v>
      </c>
      <c r="P100" s="9">
        <v>0</v>
      </c>
      <c r="Q100" s="9">
        <v>0</v>
      </c>
      <c r="R100" s="9">
        <v>0</v>
      </c>
      <c r="S100" s="9"/>
      <c r="T100" s="8"/>
      <c r="U100" s="8" t="s">
        <v>301</v>
      </c>
      <c r="V100" s="8" t="s">
        <v>288</v>
      </c>
      <c r="W100" s="10">
        <v>4</v>
      </c>
      <c r="X100" s="11" t="s">
        <v>603</v>
      </c>
      <c r="Y100" s="11" t="s">
        <v>470</v>
      </c>
      <c r="Z100" s="11" t="s">
        <v>604</v>
      </c>
    </row>
    <row r="101" ht="31" spans="1:26">
      <c r="A101" s="8" t="s">
        <v>50</v>
      </c>
      <c r="B101" s="8" t="s">
        <v>51</v>
      </c>
      <c r="C101" s="8" t="s">
        <v>605</v>
      </c>
      <c r="D101" s="8" t="s">
        <v>267</v>
      </c>
      <c r="E101" s="8" t="s">
        <v>277</v>
      </c>
      <c r="F101" s="8" t="s">
        <v>278</v>
      </c>
      <c r="G101" s="8" t="s">
        <v>90</v>
      </c>
      <c r="H101" s="8" t="s">
        <v>73</v>
      </c>
      <c r="I101" s="8" t="s">
        <v>73</v>
      </c>
      <c r="J101" s="8" t="s">
        <v>279</v>
      </c>
      <c r="K101" s="8">
        <v>0</v>
      </c>
      <c r="L101" s="8">
        <v>4</v>
      </c>
      <c r="M101" s="8">
        <v>4</v>
      </c>
      <c r="N101" s="9">
        <v>0</v>
      </c>
      <c r="O101" s="9">
        <v>0</v>
      </c>
      <c r="P101" s="9">
        <v>0</v>
      </c>
      <c r="Q101" s="9">
        <v>0</v>
      </c>
      <c r="R101" s="9">
        <v>0</v>
      </c>
      <c r="S101" s="9"/>
      <c r="T101" s="8"/>
      <c r="U101" s="8" t="s">
        <v>301</v>
      </c>
      <c r="V101" s="8" t="s">
        <v>288</v>
      </c>
      <c r="W101" s="10">
        <v>4</v>
      </c>
      <c r="X101" s="11" t="s">
        <v>532</v>
      </c>
      <c r="Y101" s="11" t="s">
        <v>470</v>
      </c>
      <c r="Z101" s="11" t="s">
        <v>493</v>
      </c>
    </row>
    <row r="102" ht="31" customHeight="1" spans="1:26">
      <c r="A102" s="8" t="s">
        <v>50</v>
      </c>
      <c r="B102" s="8" t="s">
        <v>51</v>
      </c>
      <c r="C102" s="8" t="s">
        <v>606</v>
      </c>
      <c r="D102" s="8" t="s">
        <v>607</v>
      </c>
      <c r="E102" s="8" t="s">
        <v>441</v>
      </c>
      <c r="F102" s="8" t="s">
        <v>338</v>
      </c>
      <c r="G102" s="8" t="s">
        <v>90</v>
      </c>
      <c r="H102" s="8" t="s">
        <v>73</v>
      </c>
      <c r="I102" s="8" t="s">
        <v>73</v>
      </c>
      <c r="J102" s="8" t="s">
        <v>279</v>
      </c>
      <c r="K102" s="8">
        <v>0</v>
      </c>
      <c r="L102" s="8">
        <v>8</v>
      </c>
      <c r="M102" s="8">
        <v>8</v>
      </c>
      <c r="N102" s="9">
        <v>0</v>
      </c>
      <c r="O102" s="9">
        <v>4</v>
      </c>
      <c r="P102" s="9">
        <v>8</v>
      </c>
      <c r="Q102" s="9">
        <v>0</v>
      </c>
      <c r="R102" s="9">
        <v>0</v>
      </c>
      <c r="S102" s="9"/>
      <c r="T102" s="8"/>
      <c r="U102" s="8" t="s">
        <v>301</v>
      </c>
      <c r="V102" s="8" t="s">
        <v>288</v>
      </c>
      <c r="W102" s="10">
        <v>4</v>
      </c>
      <c r="X102" s="11" t="s">
        <v>489</v>
      </c>
      <c r="Y102" s="11" t="s">
        <v>608</v>
      </c>
      <c r="Z102" s="11" t="s">
        <v>609</v>
      </c>
    </row>
    <row r="103" ht="46" spans="1:26">
      <c r="A103" s="8" t="s">
        <v>50</v>
      </c>
      <c r="B103" s="8" t="s">
        <v>51</v>
      </c>
      <c r="C103" s="8" t="s">
        <v>610</v>
      </c>
      <c r="D103" s="8" t="s">
        <v>267</v>
      </c>
      <c r="E103" s="8" t="s">
        <v>277</v>
      </c>
      <c r="F103" s="8" t="s">
        <v>278</v>
      </c>
      <c r="G103" s="8" t="s">
        <v>90</v>
      </c>
      <c r="H103" s="8" t="s">
        <v>73</v>
      </c>
      <c r="I103" s="8" t="s">
        <v>73</v>
      </c>
      <c r="J103" s="8" t="s">
        <v>279</v>
      </c>
      <c r="K103" s="8">
        <v>0</v>
      </c>
      <c r="L103" s="8">
        <v>8</v>
      </c>
      <c r="M103" s="8">
        <v>8</v>
      </c>
      <c r="N103" s="9">
        <v>0</v>
      </c>
      <c r="O103" s="9">
        <v>0</v>
      </c>
      <c r="P103" s="9">
        <v>0</v>
      </c>
      <c r="Q103" s="9">
        <v>0</v>
      </c>
      <c r="R103" s="9">
        <v>0</v>
      </c>
      <c r="S103" s="9"/>
      <c r="T103" s="8"/>
      <c r="U103" s="8" t="s">
        <v>301</v>
      </c>
      <c r="V103" s="8" t="s">
        <v>288</v>
      </c>
      <c r="W103" s="10">
        <v>4</v>
      </c>
      <c r="X103" s="11" t="s">
        <v>611</v>
      </c>
      <c r="Y103" s="11" t="s">
        <v>612</v>
      </c>
      <c r="Z103" s="11" t="s">
        <v>613</v>
      </c>
    </row>
    <row r="104" ht="31" customHeight="1" spans="1:26">
      <c r="A104" s="8" t="s">
        <v>50</v>
      </c>
      <c r="B104" s="8" t="s">
        <v>51</v>
      </c>
      <c r="C104" s="8" t="s">
        <v>614</v>
      </c>
      <c r="D104" s="8" t="s">
        <v>267</v>
      </c>
      <c r="E104" s="8" t="s">
        <v>277</v>
      </c>
      <c r="F104" s="8" t="s">
        <v>278</v>
      </c>
      <c r="G104" s="8" t="s">
        <v>90</v>
      </c>
      <c r="H104" s="8" t="s">
        <v>73</v>
      </c>
      <c r="I104" s="8" t="s">
        <v>90</v>
      </c>
      <c r="J104" s="8" t="s">
        <v>279</v>
      </c>
      <c r="K104" s="8">
        <v>0</v>
      </c>
      <c r="L104" s="8">
        <v>8</v>
      </c>
      <c r="M104" s="8">
        <v>8</v>
      </c>
      <c r="N104" s="9">
        <v>0</v>
      </c>
      <c r="O104" s="9">
        <v>0</v>
      </c>
      <c r="P104" s="9">
        <v>0</v>
      </c>
      <c r="Q104" s="9">
        <v>4</v>
      </c>
      <c r="R104" s="9">
        <v>0</v>
      </c>
      <c r="S104" s="9"/>
      <c r="T104" s="8"/>
      <c r="U104" s="8" t="s">
        <v>301</v>
      </c>
      <c r="V104" s="8" t="s">
        <v>288</v>
      </c>
      <c r="W104" s="10">
        <v>4</v>
      </c>
      <c r="X104" s="11" t="s">
        <v>584</v>
      </c>
      <c r="Y104" s="11" t="s">
        <v>470</v>
      </c>
      <c r="Z104" s="11" t="s">
        <v>615</v>
      </c>
    </row>
    <row r="105" ht="46" spans="1:26">
      <c r="A105" s="8" t="s">
        <v>50</v>
      </c>
      <c r="B105" s="8" t="s">
        <v>51</v>
      </c>
      <c r="C105" s="8" t="s">
        <v>616</v>
      </c>
      <c r="D105" s="8" t="s">
        <v>384</v>
      </c>
      <c r="E105" s="8" t="s">
        <v>384</v>
      </c>
      <c r="F105" s="8" t="s">
        <v>338</v>
      </c>
      <c r="G105" s="8" t="s">
        <v>90</v>
      </c>
      <c r="H105" s="8" t="s">
        <v>73</v>
      </c>
      <c r="I105" s="8" t="s">
        <v>73</v>
      </c>
      <c r="J105" s="8" t="s">
        <v>279</v>
      </c>
      <c r="K105" s="8">
        <v>0</v>
      </c>
      <c r="L105" s="8">
        <v>4</v>
      </c>
      <c r="M105" s="8">
        <v>4</v>
      </c>
      <c r="N105" s="9">
        <v>0</v>
      </c>
      <c r="O105" s="9">
        <v>0</v>
      </c>
      <c r="P105" s="9">
        <v>0</v>
      </c>
      <c r="Q105" s="9">
        <v>0</v>
      </c>
      <c r="R105" s="9">
        <v>0</v>
      </c>
      <c r="S105" s="9"/>
      <c r="T105" s="8"/>
      <c r="U105" s="8" t="s">
        <v>301</v>
      </c>
      <c r="V105" s="8" t="s">
        <v>288</v>
      </c>
      <c r="W105" s="10">
        <v>4</v>
      </c>
      <c r="X105" s="11" t="s">
        <v>571</v>
      </c>
      <c r="Y105" s="11" t="s">
        <v>470</v>
      </c>
      <c r="Z105" s="11" t="s">
        <v>604</v>
      </c>
    </row>
    <row r="106" ht="46" customHeight="1" spans="1:26">
      <c r="A106" s="8" t="s">
        <v>180</v>
      </c>
      <c r="B106" s="8" t="s">
        <v>99</v>
      </c>
      <c r="C106" s="8" t="s">
        <v>617</v>
      </c>
      <c r="D106" s="8" t="s">
        <v>267</v>
      </c>
      <c r="E106" s="8" t="s">
        <v>268</v>
      </c>
      <c r="F106" s="8" t="s">
        <v>269</v>
      </c>
      <c r="G106" s="8" t="s">
        <v>90</v>
      </c>
      <c r="H106" s="8" t="s">
        <v>90</v>
      </c>
      <c r="I106" s="8" t="s">
        <v>90</v>
      </c>
      <c r="J106" s="8" t="s">
        <v>270</v>
      </c>
      <c r="K106" s="8">
        <v>4</v>
      </c>
      <c r="L106" s="8">
        <v>8</v>
      </c>
      <c r="M106" s="8">
        <v>12</v>
      </c>
      <c r="N106" s="9">
        <v>80</v>
      </c>
      <c r="O106" s="9">
        <v>112</v>
      </c>
      <c r="P106" s="9">
        <v>92</v>
      </c>
      <c r="Q106" s="9">
        <v>136</v>
      </c>
      <c r="R106" s="9">
        <v>108</v>
      </c>
      <c r="S106" s="9"/>
      <c r="T106" s="8"/>
      <c r="U106" s="8" t="s">
        <v>271</v>
      </c>
      <c r="V106" s="8" t="s">
        <v>454</v>
      </c>
      <c r="W106" s="10">
        <v>130</v>
      </c>
      <c r="X106" s="11" t="s">
        <v>618</v>
      </c>
      <c r="Y106" s="11" t="s">
        <v>619</v>
      </c>
      <c r="Z106" s="11" t="s">
        <v>620</v>
      </c>
    </row>
    <row r="107" ht="46" customHeight="1" spans="1:26">
      <c r="A107" s="8" t="s">
        <v>180</v>
      </c>
      <c r="B107" s="8" t="s">
        <v>99</v>
      </c>
      <c r="C107" s="8" t="s">
        <v>621</v>
      </c>
      <c r="D107" s="8" t="s">
        <v>267</v>
      </c>
      <c r="E107" s="8" t="s">
        <v>268</v>
      </c>
      <c r="F107" s="8" t="s">
        <v>269</v>
      </c>
      <c r="G107" s="8" t="s">
        <v>90</v>
      </c>
      <c r="H107" s="8" t="s">
        <v>90</v>
      </c>
      <c r="I107" s="8" t="s">
        <v>90</v>
      </c>
      <c r="J107" s="8" t="s">
        <v>279</v>
      </c>
      <c r="K107" s="8">
        <v>0</v>
      </c>
      <c r="L107" s="8">
        <v>12</v>
      </c>
      <c r="M107" s="8">
        <v>12</v>
      </c>
      <c r="N107" s="9">
        <v>52</v>
      </c>
      <c r="O107" s="9">
        <v>48</v>
      </c>
      <c r="P107" s="9">
        <v>80</v>
      </c>
      <c r="Q107" s="9">
        <v>88</v>
      </c>
      <c r="R107" s="9">
        <v>64</v>
      </c>
      <c r="S107" s="9"/>
      <c r="T107" s="8"/>
      <c r="U107" s="8" t="s">
        <v>280</v>
      </c>
      <c r="V107" s="8" t="s">
        <v>454</v>
      </c>
      <c r="W107" s="10">
        <v>100</v>
      </c>
      <c r="X107" s="11" t="s">
        <v>622</v>
      </c>
      <c r="Y107" s="11" t="s">
        <v>623</v>
      </c>
      <c r="Z107" s="11" t="s">
        <v>620</v>
      </c>
    </row>
    <row r="108" ht="42" customHeight="1" spans="1:26">
      <c r="A108" s="8" t="s">
        <v>180</v>
      </c>
      <c r="B108" s="8" t="s">
        <v>99</v>
      </c>
      <c r="C108" s="8" t="s">
        <v>624</v>
      </c>
      <c r="D108" s="8" t="s">
        <v>267</v>
      </c>
      <c r="E108" s="8" t="s">
        <v>277</v>
      </c>
      <c r="F108" s="8" t="s">
        <v>278</v>
      </c>
      <c r="G108" s="8" t="s">
        <v>90</v>
      </c>
      <c r="H108" s="8" t="s">
        <v>90</v>
      </c>
      <c r="I108" s="8" t="s">
        <v>90</v>
      </c>
      <c r="J108" s="8" t="s">
        <v>279</v>
      </c>
      <c r="K108" s="8">
        <v>0</v>
      </c>
      <c r="L108" s="8">
        <v>8</v>
      </c>
      <c r="M108" s="8">
        <v>8</v>
      </c>
      <c r="N108" s="9">
        <v>12</v>
      </c>
      <c r="O108" s="9">
        <v>4</v>
      </c>
      <c r="P108" s="9">
        <v>0</v>
      </c>
      <c r="Q108" s="9">
        <v>0</v>
      </c>
      <c r="R108" s="9">
        <v>16</v>
      </c>
      <c r="S108" s="9"/>
      <c r="T108" s="8"/>
      <c r="U108" s="8" t="s">
        <v>288</v>
      </c>
      <c r="V108" s="8" t="s">
        <v>271</v>
      </c>
      <c r="W108" s="10">
        <v>20</v>
      </c>
      <c r="X108" s="11" t="s">
        <v>625</v>
      </c>
      <c r="Y108" s="11" t="s">
        <v>626</v>
      </c>
      <c r="Z108" s="11" t="s">
        <v>620</v>
      </c>
    </row>
    <row r="109" ht="45" customHeight="1" spans="1:26">
      <c r="A109" s="8" t="s">
        <v>180</v>
      </c>
      <c r="B109" s="8" t="s">
        <v>99</v>
      </c>
      <c r="C109" s="8" t="s">
        <v>627</v>
      </c>
      <c r="D109" s="8" t="s">
        <v>267</v>
      </c>
      <c r="E109" s="8" t="s">
        <v>277</v>
      </c>
      <c r="F109" s="8" t="s">
        <v>278</v>
      </c>
      <c r="G109" s="8" t="s">
        <v>90</v>
      </c>
      <c r="H109" s="8" t="s">
        <v>73</v>
      </c>
      <c r="I109" s="8" t="s">
        <v>90</v>
      </c>
      <c r="J109" s="8" t="s">
        <v>279</v>
      </c>
      <c r="K109" s="8">
        <v>0</v>
      </c>
      <c r="L109" s="8">
        <v>12</v>
      </c>
      <c r="M109" s="8">
        <v>12</v>
      </c>
      <c r="N109" s="9">
        <v>4</v>
      </c>
      <c r="O109" s="9">
        <v>12</v>
      </c>
      <c r="P109" s="9">
        <v>24</v>
      </c>
      <c r="Q109" s="9">
        <v>0</v>
      </c>
      <c r="R109" s="9">
        <v>12</v>
      </c>
      <c r="S109" s="9"/>
      <c r="T109" s="8"/>
      <c r="U109" s="8" t="s">
        <v>288</v>
      </c>
      <c r="V109" s="8" t="s">
        <v>280</v>
      </c>
      <c r="W109" s="10">
        <v>20</v>
      </c>
      <c r="X109" s="11" t="s">
        <v>625</v>
      </c>
      <c r="Y109" s="11" t="s">
        <v>626</v>
      </c>
      <c r="Z109" s="11" t="s">
        <v>620</v>
      </c>
    </row>
    <row r="110" ht="31" customHeight="1" spans="1:26">
      <c r="A110" s="8" t="s">
        <v>180</v>
      </c>
      <c r="B110" s="8" t="s">
        <v>99</v>
      </c>
      <c r="C110" s="8" t="s">
        <v>628</v>
      </c>
      <c r="D110" s="8" t="s">
        <v>267</v>
      </c>
      <c r="E110" s="8" t="s">
        <v>277</v>
      </c>
      <c r="F110" s="8" t="s">
        <v>278</v>
      </c>
      <c r="G110" s="8" t="s">
        <v>90</v>
      </c>
      <c r="H110" s="8" t="s">
        <v>90</v>
      </c>
      <c r="I110" s="8" t="s">
        <v>90</v>
      </c>
      <c r="J110" s="8" t="s">
        <v>279</v>
      </c>
      <c r="K110" s="8">
        <v>0</v>
      </c>
      <c r="L110" s="8">
        <v>12</v>
      </c>
      <c r="M110" s="8">
        <v>12</v>
      </c>
      <c r="N110" s="9">
        <v>20</v>
      </c>
      <c r="O110" s="9">
        <v>12</v>
      </c>
      <c r="P110" s="9">
        <v>32</v>
      </c>
      <c r="Q110" s="9">
        <v>24</v>
      </c>
      <c r="R110" s="9">
        <v>8</v>
      </c>
      <c r="S110" s="9"/>
      <c r="T110" s="8"/>
      <c r="U110" s="8" t="s">
        <v>288</v>
      </c>
      <c r="V110" s="8" t="s">
        <v>271</v>
      </c>
      <c r="W110" s="10">
        <v>40</v>
      </c>
      <c r="X110" s="11" t="s">
        <v>629</v>
      </c>
      <c r="Y110" s="11" t="s">
        <v>630</v>
      </c>
      <c r="Z110" s="11" t="s">
        <v>620</v>
      </c>
    </row>
    <row r="111" ht="31" customHeight="1" spans="1:26">
      <c r="A111" s="8" t="s">
        <v>180</v>
      </c>
      <c r="B111" s="8" t="s">
        <v>99</v>
      </c>
      <c r="C111" s="8" t="s">
        <v>631</v>
      </c>
      <c r="D111" s="8" t="s">
        <v>267</v>
      </c>
      <c r="E111" s="8" t="s">
        <v>317</v>
      </c>
      <c r="F111" s="8" t="s">
        <v>278</v>
      </c>
      <c r="G111" s="8" t="s">
        <v>90</v>
      </c>
      <c r="H111" s="8" t="s">
        <v>90</v>
      </c>
      <c r="I111" s="8" t="s">
        <v>90</v>
      </c>
      <c r="J111" s="8" t="s">
        <v>279</v>
      </c>
      <c r="K111" s="8">
        <v>0</v>
      </c>
      <c r="L111" s="8">
        <v>12</v>
      </c>
      <c r="M111" s="8">
        <v>12</v>
      </c>
      <c r="N111" s="9">
        <v>0</v>
      </c>
      <c r="O111" s="9">
        <v>32</v>
      </c>
      <c r="P111" s="9">
        <v>12</v>
      </c>
      <c r="Q111" s="9">
        <v>0</v>
      </c>
      <c r="R111" s="9">
        <v>4</v>
      </c>
      <c r="S111" s="9"/>
      <c r="T111" s="8"/>
      <c r="U111" s="8" t="s">
        <v>288</v>
      </c>
      <c r="V111" s="8" t="s">
        <v>280</v>
      </c>
      <c r="W111" s="10">
        <v>40</v>
      </c>
      <c r="X111" s="11" t="s">
        <v>632</v>
      </c>
      <c r="Y111" s="11" t="s">
        <v>633</v>
      </c>
      <c r="Z111" s="11" t="s">
        <v>620</v>
      </c>
    </row>
    <row r="112" ht="31" customHeight="1" spans="1:26">
      <c r="A112" s="8" t="s">
        <v>180</v>
      </c>
      <c r="B112" s="8" t="s">
        <v>99</v>
      </c>
      <c r="C112" s="8" t="s">
        <v>634</v>
      </c>
      <c r="D112" s="8" t="s">
        <v>267</v>
      </c>
      <c r="E112" s="8" t="s">
        <v>277</v>
      </c>
      <c r="F112" s="8" t="s">
        <v>278</v>
      </c>
      <c r="G112" s="8" t="s">
        <v>90</v>
      </c>
      <c r="H112" s="8" t="s">
        <v>90</v>
      </c>
      <c r="I112" s="8" t="s">
        <v>90</v>
      </c>
      <c r="J112" s="8" t="s">
        <v>279</v>
      </c>
      <c r="K112" s="8">
        <v>0</v>
      </c>
      <c r="L112" s="8">
        <v>8</v>
      </c>
      <c r="M112" s="8">
        <v>8</v>
      </c>
      <c r="N112" s="9">
        <v>0</v>
      </c>
      <c r="O112" s="9">
        <v>0</v>
      </c>
      <c r="P112" s="9">
        <v>0</v>
      </c>
      <c r="Q112" s="9">
        <v>0</v>
      </c>
      <c r="R112" s="9">
        <v>0</v>
      </c>
      <c r="S112" s="9"/>
      <c r="T112" s="8"/>
      <c r="U112" s="8" t="s">
        <v>271</v>
      </c>
      <c r="V112" s="8" t="s">
        <v>271</v>
      </c>
      <c r="W112" s="10">
        <v>20</v>
      </c>
      <c r="X112" s="11" t="s">
        <v>632</v>
      </c>
      <c r="Y112" s="11" t="s">
        <v>633</v>
      </c>
      <c r="Z112" s="11" t="s">
        <v>635</v>
      </c>
    </row>
    <row r="113" ht="31" customHeight="1" spans="1:26">
      <c r="A113" s="8" t="s">
        <v>180</v>
      </c>
      <c r="B113" s="8" t="s">
        <v>99</v>
      </c>
      <c r="C113" s="8" t="s">
        <v>636</v>
      </c>
      <c r="D113" s="8" t="s">
        <v>267</v>
      </c>
      <c r="E113" s="8" t="s">
        <v>286</v>
      </c>
      <c r="F113" s="8" t="s">
        <v>287</v>
      </c>
      <c r="G113" s="8" t="s">
        <v>90</v>
      </c>
      <c r="H113" s="8" t="s">
        <v>73</v>
      </c>
      <c r="I113" s="8" t="s">
        <v>90</v>
      </c>
      <c r="J113" s="8" t="s">
        <v>293</v>
      </c>
      <c r="K113" s="8">
        <v>4</v>
      </c>
      <c r="L113" s="8">
        <v>12</v>
      </c>
      <c r="M113" s="8">
        <v>16</v>
      </c>
      <c r="N113" s="9">
        <v>8</v>
      </c>
      <c r="O113" s="9">
        <v>0</v>
      </c>
      <c r="P113" s="9">
        <v>0</v>
      </c>
      <c r="Q113" s="9">
        <v>0</v>
      </c>
      <c r="R113" s="9">
        <v>0</v>
      </c>
      <c r="S113" s="9"/>
      <c r="T113" s="8"/>
      <c r="U113" s="8" t="s">
        <v>301</v>
      </c>
      <c r="V113" s="8" t="s">
        <v>271</v>
      </c>
      <c r="W113" s="10">
        <v>40</v>
      </c>
      <c r="X113" s="11" t="s">
        <v>637</v>
      </c>
      <c r="Y113" s="11" t="s">
        <v>638</v>
      </c>
      <c r="Z113" s="11" t="s">
        <v>635</v>
      </c>
    </row>
    <row r="114" ht="31" customHeight="1" spans="1:26">
      <c r="A114" s="8" t="s">
        <v>180</v>
      </c>
      <c r="B114" s="8" t="s">
        <v>99</v>
      </c>
      <c r="C114" s="8" t="s">
        <v>639</v>
      </c>
      <c r="D114" s="8" t="s">
        <v>267</v>
      </c>
      <c r="E114" s="8" t="s">
        <v>384</v>
      </c>
      <c r="F114" s="8" t="s">
        <v>278</v>
      </c>
      <c r="G114" s="8" t="s">
        <v>90</v>
      </c>
      <c r="H114" s="8" t="s">
        <v>73</v>
      </c>
      <c r="I114" s="8" t="s">
        <v>90</v>
      </c>
      <c r="J114" s="8" t="s">
        <v>279</v>
      </c>
      <c r="K114" s="8">
        <v>0</v>
      </c>
      <c r="L114" s="8">
        <v>8</v>
      </c>
      <c r="M114" s="8">
        <v>8</v>
      </c>
      <c r="N114" s="9">
        <v>0</v>
      </c>
      <c r="O114" s="9">
        <v>0</v>
      </c>
      <c r="P114" s="9">
        <v>0</v>
      </c>
      <c r="Q114" s="9">
        <v>0</v>
      </c>
      <c r="R114" s="9">
        <v>0</v>
      </c>
      <c r="S114" s="9"/>
      <c r="T114" s="8"/>
      <c r="U114" s="8" t="s">
        <v>301</v>
      </c>
      <c r="V114" s="8" t="s">
        <v>280</v>
      </c>
      <c r="W114" s="10">
        <v>20</v>
      </c>
      <c r="X114" s="11" t="s">
        <v>632</v>
      </c>
      <c r="Y114" s="11" t="s">
        <v>633</v>
      </c>
      <c r="Z114" s="11" t="s">
        <v>635</v>
      </c>
    </row>
    <row r="115" ht="31" customHeight="1" spans="1:26">
      <c r="A115" s="8" t="s">
        <v>180</v>
      </c>
      <c r="B115" s="8" t="s">
        <v>99</v>
      </c>
      <c r="C115" s="8" t="s">
        <v>640</v>
      </c>
      <c r="D115" s="8" t="s">
        <v>267</v>
      </c>
      <c r="E115" s="8" t="s">
        <v>384</v>
      </c>
      <c r="F115" s="8" t="s">
        <v>278</v>
      </c>
      <c r="G115" s="8" t="s">
        <v>90</v>
      </c>
      <c r="H115" s="8" t="s">
        <v>73</v>
      </c>
      <c r="I115" s="8" t="s">
        <v>90</v>
      </c>
      <c r="J115" s="8" t="s">
        <v>279</v>
      </c>
      <c r="K115" s="8">
        <v>0</v>
      </c>
      <c r="L115" s="8">
        <v>4</v>
      </c>
      <c r="M115" s="8">
        <v>4</v>
      </c>
      <c r="N115" s="9">
        <v>0</v>
      </c>
      <c r="O115" s="9">
        <v>0</v>
      </c>
      <c r="P115" s="9">
        <v>0</v>
      </c>
      <c r="Q115" s="9">
        <v>0</v>
      </c>
      <c r="R115" s="9">
        <v>0</v>
      </c>
      <c r="S115" s="9"/>
      <c r="T115" s="8"/>
      <c r="U115" s="8" t="s">
        <v>301</v>
      </c>
      <c r="V115" s="8" t="s">
        <v>280</v>
      </c>
      <c r="W115" s="10">
        <v>8</v>
      </c>
      <c r="X115" s="11" t="s">
        <v>632</v>
      </c>
      <c r="Y115" s="11" t="s">
        <v>633</v>
      </c>
      <c r="Z115" s="11" t="s">
        <v>635</v>
      </c>
    </row>
    <row r="116" ht="31" customHeight="1" spans="1:26">
      <c r="A116" s="8" t="s">
        <v>180</v>
      </c>
      <c r="B116" s="8" t="s">
        <v>99</v>
      </c>
      <c r="C116" s="8" t="s">
        <v>641</v>
      </c>
      <c r="D116" s="8" t="s">
        <v>267</v>
      </c>
      <c r="E116" s="8" t="s">
        <v>277</v>
      </c>
      <c r="F116" s="8" t="s">
        <v>278</v>
      </c>
      <c r="G116" s="8" t="s">
        <v>90</v>
      </c>
      <c r="H116" s="8" t="s">
        <v>73</v>
      </c>
      <c r="I116" s="8" t="s">
        <v>90</v>
      </c>
      <c r="J116" s="8" t="s">
        <v>279</v>
      </c>
      <c r="K116" s="8">
        <v>0</v>
      </c>
      <c r="L116" s="8">
        <v>8</v>
      </c>
      <c r="M116" s="8">
        <v>8</v>
      </c>
      <c r="N116" s="9">
        <v>0</v>
      </c>
      <c r="O116" s="9">
        <v>0</v>
      </c>
      <c r="P116" s="9">
        <v>0</v>
      </c>
      <c r="Q116" s="9">
        <v>0</v>
      </c>
      <c r="R116" s="9">
        <v>0</v>
      </c>
      <c r="S116" s="9"/>
      <c r="T116" s="8"/>
      <c r="U116" s="8" t="s">
        <v>301</v>
      </c>
      <c r="V116" s="8" t="s">
        <v>280</v>
      </c>
      <c r="W116" s="10">
        <v>8</v>
      </c>
      <c r="X116" s="11" t="s">
        <v>632</v>
      </c>
      <c r="Y116" s="11" t="s">
        <v>633</v>
      </c>
      <c r="Z116" s="11" t="s">
        <v>635</v>
      </c>
    </row>
    <row r="117" ht="31" customHeight="1" spans="1:26">
      <c r="A117" s="8" t="s">
        <v>180</v>
      </c>
      <c r="B117" s="8" t="s">
        <v>99</v>
      </c>
      <c r="C117" s="8" t="s">
        <v>642</v>
      </c>
      <c r="D117" s="8" t="s">
        <v>267</v>
      </c>
      <c r="E117" s="8" t="s">
        <v>277</v>
      </c>
      <c r="F117" s="8" t="s">
        <v>278</v>
      </c>
      <c r="G117" s="8" t="s">
        <v>90</v>
      </c>
      <c r="H117" s="8" t="s">
        <v>73</v>
      </c>
      <c r="I117" s="8" t="s">
        <v>90</v>
      </c>
      <c r="J117" s="8" t="s">
        <v>279</v>
      </c>
      <c r="K117" s="8">
        <v>0</v>
      </c>
      <c r="L117" s="8">
        <v>8</v>
      </c>
      <c r="M117" s="8">
        <v>8</v>
      </c>
      <c r="N117" s="9">
        <v>0</v>
      </c>
      <c r="O117" s="9">
        <v>0</v>
      </c>
      <c r="P117" s="9">
        <v>0</v>
      </c>
      <c r="Q117" s="9">
        <v>0</v>
      </c>
      <c r="R117" s="9">
        <v>0</v>
      </c>
      <c r="S117" s="9"/>
      <c r="T117" s="8"/>
      <c r="U117" s="8" t="s">
        <v>301</v>
      </c>
      <c r="V117" s="8" t="s">
        <v>280</v>
      </c>
      <c r="W117" s="10">
        <v>8</v>
      </c>
      <c r="X117" s="11" t="s">
        <v>632</v>
      </c>
      <c r="Y117" s="11" t="s">
        <v>633</v>
      </c>
      <c r="Z117" s="11" t="s">
        <v>635</v>
      </c>
    </row>
    <row r="118" ht="43" customHeight="1" spans="1:26">
      <c r="A118" s="8" t="s">
        <v>180</v>
      </c>
      <c r="B118" s="8" t="s">
        <v>99</v>
      </c>
      <c r="C118" s="8" t="s">
        <v>643</v>
      </c>
      <c r="D118" s="8" t="s">
        <v>267</v>
      </c>
      <c r="E118" s="8" t="s">
        <v>277</v>
      </c>
      <c r="F118" s="8" t="s">
        <v>278</v>
      </c>
      <c r="G118" s="8" t="s">
        <v>90</v>
      </c>
      <c r="H118" s="8" t="s">
        <v>73</v>
      </c>
      <c r="I118" s="8" t="s">
        <v>90</v>
      </c>
      <c r="J118" s="8" t="s">
        <v>279</v>
      </c>
      <c r="K118" s="8">
        <v>0</v>
      </c>
      <c r="L118" s="8">
        <v>8</v>
      </c>
      <c r="M118" s="8">
        <v>8</v>
      </c>
      <c r="N118" s="9">
        <v>4</v>
      </c>
      <c r="O118" s="9">
        <v>0</v>
      </c>
      <c r="P118" s="9">
        <v>12</v>
      </c>
      <c r="Q118" s="9">
        <v>0</v>
      </c>
      <c r="R118" s="9">
        <v>0</v>
      </c>
      <c r="S118" s="9"/>
      <c r="T118" s="8"/>
      <c r="U118" s="8" t="s">
        <v>301</v>
      </c>
      <c r="V118" s="8" t="s">
        <v>280</v>
      </c>
      <c r="W118" s="10">
        <v>8</v>
      </c>
      <c r="X118" s="11" t="s">
        <v>632</v>
      </c>
      <c r="Y118" s="11" t="s">
        <v>633</v>
      </c>
      <c r="Z118" s="11" t="s">
        <v>635</v>
      </c>
    </row>
    <row r="119" ht="31" customHeight="1" spans="1:26">
      <c r="A119" s="8" t="s">
        <v>180</v>
      </c>
      <c r="B119" s="8" t="s">
        <v>99</v>
      </c>
      <c r="C119" s="8" t="s">
        <v>644</v>
      </c>
      <c r="D119" s="8" t="s">
        <v>267</v>
      </c>
      <c r="E119" s="8" t="s">
        <v>286</v>
      </c>
      <c r="F119" s="8" t="s">
        <v>287</v>
      </c>
      <c r="G119" s="8" t="s">
        <v>90</v>
      </c>
      <c r="H119" s="8" t="s">
        <v>73</v>
      </c>
      <c r="I119" s="8" t="s">
        <v>73</v>
      </c>
      <c r="J119" s="8" t="s">
        <v>279</v>
      </c>
      <c r="K119" s="8">
        <v>0</v>
      </c>
      <c r="L119" s="8">
        <v>8</v>
      </c>
      <c r="M119" s="8">
        <v>8</v>
      </c>
      <c r="N119" s="9">
        <v>0</v>
      </c>
      <c r="O119" s="9">
        <v>0</v>
      </c>
      <c r="P119" s="9">
        <v>0</v>
      </c>
      <c r="Q119" s="9">
        <v>0</v>
      </c>
      <c r="R119" s="9">
        <v>0</v>
      </c>
      <c r="S119" s="9"/>
      <c r="T119" s="8"/>
      <c r="U119" s="8" t="s">
        <v>301</v>
      </c>
      <c r="V119" s="8" t="s">
        <v>280</v>
      </c>
      <c r="W119" s="10">
        <v>8</v>
      </c>
      <c r="X119" s="11" t="s">
        <v>632</v>
      </c>
      <c r="Y119" s="11" t="s">
        <v>633</v>
      </c>
      <c r="Z119" s="11" t="s">
        <v>635</v>
      </c>
    </row>
    <row r="120" ht="31" customHeight="1" spans="1:26">
      <c r="A120" s="8" t="s">
        <v>180</v>
      </c>
      <c r="B120" s="8" t="s">
        <v>99</v>
      </c>
      <c r="C120" s="8" t="s">
        <v>645</v>
      </c>
      <c r="D120" s="8" t="s">
        <v>267</v>
      </c>
      <c r="E120" s="8" t="s">
        <v>384</v>
      </c>
      <c r="F120" s="8" t="s">
        <v>278</v>
      </c>
      <c r="G120" s="8" t="s">
        <v>90</v>
      </c>
      <c r="H120" s="8" t="s">
        <v>73</v>
      </c>
      <c r="I120" s="8" t="s">
        <v>73</v>
      </c>
      <c r="J120" s="8" t="s">
        <v>279</v>
      </c>
      <c r="K120" s="8">
        <v>0</v>
      </c>
      <c r="L120" s="8">
        <v>8</v>
      </c>
      <c r="M120" s="8">
        <v>8</v>
      </c>
      <c r="N120" s="9">
        <v>0</v>
      </c>
      <c r="O120" s="9">
        <v>0</v>
      </c>
      <c r="P120" s="9">
        <v>0</v>
      </c>
      <c r="Q120" s="9">
        <v>0</v>
      </c>
      <c r="R120" s="9">
        <v>0</v>
      </c>
      <c r="S120" s="9"/>
      <c r="T120" s="8"/>
      <c r="U120" s="8" t="s">
        <v>301</v>
      </c>
      <c r="V120" s="8" t="s">
        <v>280</v>
      </c>
      <c r="W120" s="10">
        <v>8</v>
      </c>
      <c r="X120" s="11" t="s">
        <v>632</v>
      </c>
      <c r="Y120" s="11" t="s">
        <v>633</v>
      </c>
      <c r="Z120" s="11" t="s">
        <v>635</v>
      </c>
    </row>
    <row r="121" ht="31" customHeight="1" spans="1:26">
      <c r="A121" s="8" t="s">
        <v>180</v>
      </c>
      <c r="B121" s="8" t="s">
        <v>99</v>
      </c>
      <c r="C121" s="8" t="s">
        <v>646</v>
      </c>
      <c r="D121" s="8" t="s">
        <v>267</v>
      </c>
      <c r="E121" s="8" t="s">
        <v>277</v>
      </c>
      <c r="F121" s="8" t="s">
        <v>278</v>
      </c>
      <c r="G121" s="8" t="s">
        <v>90</v>
      </c>
      <c r="H121" s="8" t="s">
        <v>73</v>
      </c>
      <c r="I121" s="8" t="s">
        <v>90</v>
      </c>
      <c r="J121" s="8" t="s">
        <v>279</v>
      </c>
      <c r="K121" s="8">
        <v>0</v>
      </c>
      <c r="L121" s="8">
        <v>8</v>
      </c>
      <c r="M121" s="8">
        <v>8</v>
      </c>
      <c r="N121" s="9">
        <v>0</v>
      </c>
      <c r="O121" s="9">
        <v>0</v>
      </c>
      <c r="P121" s="9">
        <v>0</v>
      </c>
      <c r="Q121" s="9">
        <v>0</v>
      </c>
      <c r="R121" s="9">
        <v>0</v>
      </c>
      <c r="S121" s="9"/>
      <c r="T121" s="8"/>
      <c r="U121" s="8" t="s">
        <v>301</v>
      </c>
      <c r="V121" s="8" t="s">
        <v>280</v>
      </c>
      <c r="W121" s="10">
        <v>8</v>
      </c>
      <c r="X121" s="11" t="s">
        <v>632</v>
      </c>
      <c r="Y121" s="11" t="s">
        <v>633</v>
      </c>
      <c r="Z121" s="11" t="s">
        <v>635</v>
      </c>
    </row>
    <row r="122" ht="31" customHeight="1" spans="1:26">
      <c r="A122" s="8" t="s">
        <v>180</v>
      </c>
      <c r="B122" s="8" t="s">
        <v>99</v>
      </c>
      <c r="C122" s="8" t="s">
        <v>647</v>
      </c>
      <c r="D122" s="8" t="s">
        <v>267</v>
      </c>
      <c r="E122" s="8" t="s">
        <v>277</v>
      </c>
      <c r="F122" s="8" t="s">
        <v>278</v>
      </c>
      <c r="G122" s="8" t="s">
        <v>90</v>
      </c>
      <c r="H122" s="8" t="s">
        <v>90</v>
      </c>
      <c r="I122" s="8" t="s">
        <v>90</v>
      </c>
      <c r="J122" s="8" t="s">
        <v>279</v>
      </c>
      <c r="K122" s="8">
        <v>0</v>
      </c>
      <c r="L122" s="8">
        <v>12</v>
      </c>
      <c r="M122" s="8">
        <v>12</v>
      </c>
      <c r="N122" s="9">
        <v>0</v>
      </c>
      <c r="O122" s="9">
        <v>4</v>
      </c>
      <c r="P122" s="9">
        <v>0</v>
      </c>
      <c r="Q122" s="9">
        <v>0</v>
      </c>
      <c r="R122" s="9">
        <v>0</v>
      </c>
      <c r="S122" s="9"/>
      <c r="T122" s="8"/>
      <c r="U122" s="8" t="s">
        <v>301</v>
      </c>
      <c r="V122" s="8" t="s">
        <v>280</v>
      </c>
      <c r="W122" s="10">
        <v>40</v>
      </c>
      <c r="X122" s="11" t="s">
        <v>632</v>
      </c>
      <c r="Y122" s="11" t="s">
        <v>633</v>
      </c>
      <c r="Z122" s="11" t="s">
        <v>635</v>
      </c>
    </row>
    <row r="123" ht="31" customHeight="1" spans="1:26">
      <c r="A123" s="8" t="s">
        <v>180</v>
      </c>
      <c r="B123" s="8" t="s">
        <v>99</v>
      </c>
      <c r="C123" s="8" t="s">
        <v>648</v>
      </c>
      <c r="D123" s="8" t="s">
        <v>267</v>
      </c>
      <c r="E123" s="8" t="s">
        <v>277</v>
      </c>
      <c r="F123" s="8" t="s">
        <v>278</v>
      </c>
      <c r="G123" s="8" t="s">
        <v>90</v>
      </c>
      <c r="H123" s="8" t="s">
        <v>73</v>
      </c>
      <c r="I123" s="8" t="s">
        <v>90</v>
      </c>
      <c r="J123" s="8" t="s">
        <v>279</v>
      </c>
      <c r="K123" s="8">
        <v>0</v>
      </c>
      <c r="L123" s="8">
        <v>4</v>
      </c>
      <c r="M123" s="8">
        <v>4</v>
      </c>
      <c r="N123" s="9">
        <v>0</v>
      </c>
      <c r="O123" s="9">
        <v>0</v>
      </c>
      <c r="P123" s="9">
        <v>0</v>
      </c>
      <c r="Q123" s="9">
        <v>0</v>
      </c>
      <c r="R123" s="9">
        <v>0</v>
      </c>
      <c r="S123" s="9"/>
      <c r="T123" s="8"/>
      <c r="U123" s="8" t="s">
        <v>288</v>
      </c>
      <c r="V123" s="8" t="s">
        <v>280</v>
      </c>
      <c r="W123" s="10">
        <v>8</v>
      </c>
      <c r="X123" s="11" t="s">
        <v>632</v>
      </c>
      <c r="Y123" s="11" t="s">
        <v>633</v>
      </c>
      <c r="Z123" s="11" t="s">
        <v>635</v>
      </c>
    </row>
    <row r="124" ht="31" customHeight="1" spans="1:26">
      <c r="A124" s="8" t="s">
        <v>180</v>
      </c>
      <c r="B124" s="8" t="s">
        <v>99</v>
      </c>
      <c r="C124" s="8" t="s">
        <v>649</v>
      </c>
      <c r="D124" s="8" t="s">
        <v>285</v>
      </c>
      <c r="E124" s="8" t="s">
        <v>286</v>
      </c>
      <c r="F124" s="8" t="s">
        <v>287</v>
      </c>
      <c r="G124" s="8" t="s">
        <v>90</v>
      </c>
      <c r="H124" s="8" t="s">
        <v>73</v>
      </c>
      <c r="I124" s="8" t="s">
        <v>73</v>
      </c>
      <c r="J124" s="8" t="s">
        <v>279</v>
      </c>
      <c r="K124" s="8">
        <v>0</v>
      </c>
      <c r="L124" s="8">
        <v>16</v>
      </c>
      <c r="M124" s="8">
        <v>16</v>
      </c>
      <c r="N124" s="9">
        <v>0</v>
      </c>
      <c r="O124" s="9">
        <v>0</v>
      </c>
      <c r="P124" s="9">
        <v>0</v>
      </c>
      <c r="Q124" s="9">
        <v>0</v>
      </c>
      <c r="R124" s="9">
        <v>0</v>
      </c>
      <c r="S124" s="9"/>
      <c r="T124" s="8"/>
      <c r="U124" s="8" t="s">
        <v>301</v>
      </c>
      <c r="V124" s="8" t="s">
        <v>280</v>
      </c>
      <c r="W124" s="10">
        <v>8</v>
      </c>
      <c r="X124" s="11" t="s">
        <v>632</v>
      </c>
      <c r="Y124" s="11" t="s">
        <v>633</v>
      </c>
      <c r="Z124" s="11" t="s">
        <v>635</v>
      </c>
    </row>
    <row r="125" ht="31" customHeight="1" spans="1:26">
      <c r="A125" s="8" t="s">
        <v>161</v>
      </c>
      <c r="B125" s="8" t="s">
        <v>99</v>
      </c>
      <c r="C125" s="8" t="s">
        <v>650</v>
      </c>
      <c r="D125" s="8" t="s">
        <v>267</v>
      </c>
      <c r="E125" s="8" t="s">
        <v>268</v>
      </c>
      <c r="F125" s="8" t="s">
        <v>269</v>
      </c>
      <c r="G125" s="8" t="s">
        <v>90</v>
      </c>
      <c r="H125" s="8" t="s">
        <v>90</v>
      </c>
      <c r="I125" s="8" t="s">
        <v>90</v>
      </c>
      <c r="J125" s="8" t="s">
        <v>270</v>
      </c>
      <c r="K125" s="8">
        <v>4</v>
      </c>
      <c r="L125" s="8">
        <v>8</v>
      </c>
      <c r="M125" s="8">
        <v>12</v>
      </c>
      <c r="N125" s="9">
        <v>56</v>
      </c>
      <c r="O125" s="9">
        <v>104</v>
      </c>
      <c r="P125" s="9">
        <v>96</v>
      </c>
      <c r="Q125" s="9">
        <v>132</v>
      </c>
      <c r="R125" s="9">
        <v>160</v>
      </c>
      <c r="S125" s="9"/>
      <c r="T125" s="8"/>
      <c r="U125" s="8" t="s">
        <v>272</v>
      </c>
      <c r="V125" s="8" t="s">
        <v>454</v>
      </c>
      <c r="W125" s="10">
        <v>300</v>
      </c>
      <c r="X125" s="11" t="s">
        <v>651</v>
      </c>
      <c r="Y125" s="11" t="s">
        <v>652</v>
      </c>
      <c r="Z125" s="11" t="s">
        <v>653</v>
      </c>
    </row>
    <row r="126" ht="31" customHeight="1" spans="1:26">
      <c r="A126" s="8" t="s">
        <v>161</v>
      </c>
      <c r="B126" s="8" t="s">
        <v>99</v>
      </c>
      <c r="C126" s="8" t="s">
        <v>654</v>
      </c>
      <c r="D126" s="8" t="s">
        <v>267</v>
      </c>
      <c r="E126" s="8" t="s">
        <v>277</v>
      </c>
      <c r="F126" s="8" t="s">
        <v>278</v>
      </c>
      <c r="G126" s="8" t="s">
        <v>90</v>
      </c>
      <c r="H126" s="8" t="s">
        <v>90</v>
      </c>
      <c r="I126" s="8" t="s">
        <v>73</v>
      </c>
      <c r="J126" s="8" t="s">
        <v>279</v>
      </c>
      <c r="K126" s="8">
        <v>0</v>
      </c>
      <c r="L126" s="8">
        <v>8</v>
      </c>
      <c r="M126" s="8">
        <v>8</v>
      </c>
      <c r="N126" s="9">
        <v>44</v>
      </c>
      <c r="O126" s="9">
        <v>48</v>
      </c>
      <c r="P126" s="9">
        <v>52</v>
      </c>
      <c r="Q126" s="9">
        <v>48</v>
      </c>
      <c r="R126" s="9">
        <v>60</v>
      </c>
      <c r="S126" s="9"/>
      <c r="T126" s="8"/>
      <c r="U126" s="8" t="s">
        <v>280</v>
      </c>
      <c r="V126" s="8" t="s">
        <v>272</v>
      </c>
      <c r="W126" s="10">
        <v>80</v>
      </c>
      <c r="X126" s="11" t="s">
        <v>655</v>
      </c>
      <c r="Y126" s="11" t="s">
        <v>656</v>
      </c>
      <c r="Z126" s="11" t="s">
        <v>657</v>
      </c>
    </row>
    <row r="127" ht="31" customHeight="1" spans="1:26">
      <c r="A127" s="8" t="s">
        <v>161</v>
      </c>
      <c r="B127" s="8" t="s">
        <v>99</v>
      </c>
      <c r="C127" s="8" t="s">
        <v>658</v>
      </c>
      <c r="D127" s="8" t="s">
        <v>267</v>
      </c>
      <c r="E127" s="8" t="s">
        <v>277</v>
      </c>
      <c r="F127" s="8" t="s">
        <v>278</v>
      </c>
      <c r="G127" s="8" t="s">
        <v>90</v>
      </c>
      <c r="H127" s="8" t="s">
        <v>90</v>
      </c>
      <c r="I127" s="8" t="s">
        <v>90</v>
      </c>
      <c r="J127" s="8" t="s">
        <v>279</v>
      </c>
      <c r="K127" s="8">
        <v>0</v>
      </c>
      <c r="L127" s="8">
        <v>8</v>
      </c>
      <c r="M127" s="8">
        <v>8</v>
      </c>
      <c r="N127" s="9">
        <v>0</v>
      </c>
      <c r="O127" s="9">
        <v>0</v>
      </c>
      <c r="P127" s="9">
        <v>0</v>
      </c>
      <c r="Q127" s="9">
        <v>0</v>
      </c>
      <c r="R127" s="9">
        <v>12</v>
      </c>
      <c r="S127" s="9"/>
      <c r="T127" s="8"/>
      <c r="U127" s="8" t="s">
        <v>288</v>
      </c>
      <c r="V127" s="8" t="s">
        <v>271</v>
      </c>
      <c r="W127" s="10">
        <v>32</v>
      </c>
      <c r="X127" s="11" t="s">
        <v>659</v>
      </c>
      <c r="Y127" s="11" t="s">
        <v>660</v>
      </c>
      <c r="Z127" s="11" t="s">
        <v>661</v>
      </c>
    </row>
    <row r="128" ht="31" customHeight="1" spans="1:26">
      <c r="A128" s="8" t="s">
        <v>161</v>
      </c>
      <c r="B128" s="8" t="s">
        <v>99</v>
      </c>
      <c r="C128" s="8" t="s">
        <v>662</v>
      </c>
      <c r="D128" s="8" t="s">
        <v>267</v>
      </c>
      <c r="E128" s="8" t="s">
        <v>277</v>
      </c>
      <c r="F128" s="8" t="s">
        <v>278</v>
      </c>
      <c r="G128" s="8" t="s">
        <v>90</v>
      </c>
      <c r="H128" s="8" t="s">
        <v>90</v>
      </c>
      <c r="I128" s="8" t="s">
        <v>73</v>
      </c>
      <c r="J128" s="8" t="s">
        <v>279</v>
      </c>
      <c r="K128" s="8">
        <v>0</v>
      </c>
      <c r="L128" s="8">
        <v>8</v>
      </c>
      <c r="M128" s="8">
        <v>8</v>
      </c>
      <c r="N128" s="9">
        <v>0</v>
      </c>
      <c r="O128" s="9">
        <v>8</v>
      </c>
      <c r="P128" s="9">
        <v>4</v>
      </c>
      <c r="Q128" s="9">
        <v>4</v>
      </c>
      <c r="R128" s="9">
        <v>8</v>
      </c>
      <c r="S128" s="9"/>
      <c r="T128" s="8"/>
      <c r="U128" s="8" t="s">
        <v>288</v>
      </c>
      <c r="V128" s="8" t="s">
        <v>288</v>
      </c>
      <c r="W128" s="10">
        <v>32</v>
      </c>
      <c r="X128" s="11" t="s">
        <v>663</v>
      </c>
      <c r="Y128" s="11" t="s">
        <v>664</v>
      </c>
      <c r="Z128" s="11" t="s">
        <v>665</v>
      </c>
    </row>
    <row r="129" ht="31" customHeight="1" spans="1:26">
      <c r="A129" s="8" t="s">
        <v>161</v>
      </c>
      <c r="B129" s="8" t="s">
        <v>99</v>
      </c>
      <c r="C129" s="8" t="s">
        <v>666</v>
      </c>
      <c r="D129" s="8" t="s">
        <v>267</v>
      </c>
      <c r="E129" s="8" t="s">
        <v>277</v>
      </c>
      <c r="F129" s="8" t="s">
        <v>278</v>
      </c>
      <c r="G129" s="8" t="s">
        <v>90</v>
      </c>
      <c r="H129" s="8" t="s">
        <v>73</v>
      </c>
      <c r="I129" s="8" t="s">
        <v>90</v>
      </c>
      <c r="J129" s="8" t="s">
        <v>279</v>
      </c>
      <c r="K129" s="8">
        <v>0</v>
      </c>
      <c r="L129" s="8">
        <v>8</v>
      </c>
      <c r="M129" s="8">
        <v>8</v>
      </c>
      <c r="N129" s="9">
        <v>16</v>
      </c>
      <c r="O129" s="9">
        <v>8</v>
      </c>
      <c r="P129" s="9">
        <v>28</v>
      </c>
      <c r="Q129" s="9">
        <v>0</v>
      </c>
      <c r="R129" s="9">
        <v>0</v>
      </c>
      <c r="S129" s="9"/>
      <c r="T129" s="8"/>
      <c r="U129" s="8" t="s">
        <v>301</v>
      </c>
      <c r="V129" s="8" t="s">
        <v>288</v>
      </c>
      <c r="W129" s="10">
        <v>24</v>
      </c>
      <c r="X129" s="11" t="s">
        <v>667</v>
      </c>
      <c r="Y129" s="11" t="s">
        <v>668</v>
      </c>
      <c r="Z129" s="11" t="s">
        <v>669</v>
      </c>
    </row>
    <row r="130" ht="31" customHeight="1" spans="1:26">
      <c r="A130" s="8" t="s">
        <v>161</v>
      </c>
      <c r="B130" s="8" t="s">
        <v>99</v>
      </c>
      <c r="C130" s="8" t="s">
        <v>670</v>
      </c>
      <c r="D130" s="8" t="s">
        <v>267</v>
      </c>
      <c r="E130" s="8" t="s">
        <v>277</v>
      </c>
      <c r="F130" s="8" t="s">
        <v>278</v>
      </c>
      <c r="G130" s="8" t="s">
        <v>90</v>
      </c>
      <c r="H130" s="8" t="s">
        <v>73</v>
      </c>
      <c r="I130" s="8" t="s">
        <v>90</v>
      </c>
      <c r="J130" s="8" t="s">
        <v>279</v>
      </c>
      <c r="K130" s="8">
        <v>0</v>
      </c>
      <c r="L130" s="8">
        <v>8</v>
      </c>
      <c r="M130" s="8">
        <v>8</v>
      </c>
      <c r="N130" s="9">
        <v>0</v>
      </c>
      <c r="O130" s="9">
        <v>4</v>
      </c>
      <c r="P130" s="9">
        <v>0</v>
      </c>
      <c r="Q130" s="9">
        <v>0</v>
      </c>
      <c r="R130" s="9">
        <v>0</v>
      </c>
      <c r="S130" s="9"/>
      <c r="T130" s="8"/>
      <c r="U130" s="8" t="s">
        <v>301</v>
      </c>
      <c r="V130" s="8" t="s">
        <v>271</v>
      </c>
      <c r="W130" s="10">
        <v>20</v>
      </c>
      <c r="X130" s="11" t="s">
        <v>671</v>
      </c>
      <c r="Y130" s="11" t="s">
        <v>672</v>
      </c>
      <c r="Z130" s="11" t="s">
        <v>673</v>
      </c>
    </row>
    <row r="131" ht="31" customHeight="1" spans="1:26">
      <c r="A131" s="8" t="s">
        <v>161</v>
      </c>
      <c r="B131" s="8" t="s">
        <v>99</v>
      </c>
      <c r="C131" s="8" t="s">
        <v>674</v>
      </c>
      <c r="D131" s="8" t="s">
        <v>267</v>
      </c>
      <c r="E131" s="8" t="s">
        <v>277</v>
      </c>
      <c r="F131" s="8" t="s">
        <v>278</v>
      </c>
      <c r="G131" s="8" t="s">
        <v>73</v>
      </c>
      <c r="H131" s="8" t="s">
        <v>73</v>
      </c>
      <c r="I131" s="8" t="s">
        <v>73</v>
      </c>
      <c r="J131" s="8" t="s">
        <v>279</v>
      </c>
      <c r="K131" s="8">
        <v>0</v>
      </c>
      <c r="L131" s="8">
        <v>2</v>
      </c>
      <c r="M131" s="8">
        <v>2</v>
      </c>
      <c r="N131" s="9">
        <v>0</v>
      </c>
      <c r="O131" s="9">
        <v>4</v>
      </c>
      <c r="P131" s="9">
        <v>12</v>
      </c>
      <c r="Q131" s="9">
        <v>4</v>
      </c>
      <c r="R131" s="9">
        <v>0</v>
      </c>
      <c r="S131" s="9"/>
      <c r="T131" s="8"/>
      <c r="U131" s="8" t="s">
        <v>301</v>
      </c>
      <c r="V131" s="8" t="s">
        <v>301</v>
      </c>
      <c r="W131" s="10">
        <v>20</v>
      </c>
      <c r="X131" s="11" t="s">
        <v>675</v>
      </c>
      <c r="Y131" s="11" t="s">
        <v>676</v>
      </c>
      <c r="Z131" s="11" t="s">
        <v>677</v>
      </c>
    </row>
    <row r="132" ht="31" customHeight="1" spans="1:26">
      <c r="A132" s="8" t="s">
        <v>161</v>
      </c>
      <c r="B132" s="8" t="s">
        <v>99</v>
      </c>
      <c r="C132" s="8" t="s">
        <v>678</v>
      </c>
      <c r="D132" s="8" t="s">
        <v>267</v>
      </c>
      <c r="E132" s="8" t="s">
        <v>384</v>
      </c>
      <c r="F132" s="8" t="s">
        <v>278</v>
      </c>
      <c r="G132" s="8" t="s">
        <v>73</v>
      </c>
      <c r="H132" s="8" t="s">
        <v>73</v>
      </c>
      <c r="I132" s="8" t="s">
        <v>73</v>
      </c>
      <c r="J132" s="8" t="s">
        <v>279</v>
      </c>
      <c r="K132" s="8">
        <v>0</v>
      </c>
      <c r="L132" s="8">
        <v>2</v>
      </c>
      <c r="M132" s="8">
        <v>2</v>
      </c>
      <c r="N132" s="9">
        <v>12</v>
      </c>
      <c r="O132" s="9">
        <v>2</v>
      </c>
      <c r="P132" s="9">
        <v>4</v>
      </c>
      <c r="Q132" s="9">
        <v>16</v>
      </c>
      <c r="R132" s="9">
        <v>0</v>
      </c>
      <c r="S132" s="9"/>
      <c r="T132" s="8"/>
      <c r="U132" s="8" t="s">
        <v>301</v>
      </c>
      <c r="V132" s="8" t="s">
        <v>301</v>
      </c>
      <c r="W132" s="10">
        <v>20</v>
      </c>
      <c r="X132" s="11" t="s">
        <v>679</v>
      </c>
      <c r="Y132" s="11" t="s">
        <v>680</v>
      </c>
      <c r="Z132" s="11" t="s">
        <v>681</v>
      </c>
    </row>
    <row r="133" ht="31" customHeight="1" spans="1:26">
      <c r="A133" s="8" t="s">
        <v>161</v>
      </c>
      <c r="B133" s="8" t="s">
        <v>99</v>
      </c>
      <c r="C133" s="8" t="s">
        <v>682</v>
      </c>
      <c r="D133" s="8" t="s">
        <v>267</v>
      </c>
      <c r="E133" s="8" t="s">
        <v>441</v>
      </c>
      <c r="F133" s="8" t="s">
        <v>278</v>
      </c>
      <c r="G133" s="8" t="s">
        <v>73</v>
      </c>
      <c r="H133" s="8" t="s">
        <v>73</v>
      </c>
      <c r="I133" s="8" t="s">
        <v>73</v>
      </c>
      <c r="J133" s="8" t="s">
        <v>279</v>
      </c>
      <c r="K133" s="8">
        <v>0</v>
      </c>
      <c r="L133" s="8">
        <v>2</v>
      </c>
      <c r="M133" s="8">
        <v>2</v>
      </c>
      <c r="N133" s="9">
        <v>0</v>
      </c>
      <c r="O133" s="9">
        <v>0</v>
      </c>
      <c r="P133" s="9">
        <v>0</v>
      </c>
      <c r="Q133" s="9">
        <v>0</v>
      </c>
      <c r="R133" s="9">
        <v>0</v>
      </c>
      <c r="S133" s="9"/>
      <c r="T133" s="8"/>
      <c r="U133" s="8" t="s">
        <v>301</v>
      </c>
      <c r="V133" s="8" t="s">
        <v>288</v>
      </c>
      <c r="W133" s="10">
        <v>32</v>
      </c>
      <c r="X133" s="11" t="s">
        <v>683</v>
      </c>
      <c r="Y133" s="11" t="s">
        <v>684</v>
      </c>
      <c r="Z133" s="11" t="s">
        <v>685</v>
      </c>
    </row>
    <row r="134" ht="31" customHeight="1" spans="1:26">
      <c r="A134" s="8" t="s">
        <v>161</v>
      </c>
      <c r="B134" s="8" t="s">
        <v>99</v>
      </c>
      <c r="C134" s="8" t="s">
        <v>686</v>
      </c>
      <c r="D134" s="8" t="s">
        <v>267</v>
      </c>
      <c r="E134" s="8" t="s">
        <v>277</v>
      </c>
      <c r="F134" s="8" t="s">
        <v>278</v>
      </c>
      <c r="G134" s="8" t="s">
        <v>90</v>
      </c>
      <c r="H134" s="8" t="s">
        <v>73</v>
      </c>
      <c r="I134" s="8" t="s">
        <v>73</v>
      </c>
      <c r="J134" s="8" t="s">
        <v>279</v>
      </c>
      <c r="K134" s="8">
        <v>0</v>
      </c>
      <c r="L134" s="8">
        <v>8</v>
      </c>
      <c r="M134" s="8">
        <v>8</v>
      </c>
      <c r="N134" s="9">
        <v>0</v>
      </c>
      <c r="O134" s="9">
        <v>0</v>
      </c>
      <c r="P134" s="9">
        <v>0</v>
      </c>
      <c r="Q134" s="9">
        <v>0</v>
      </c>
      <c r="R134" s="9">
        <v>0</v>
      </c>
      <c r="S134" s="9"/>
      <c r="T134" s="8"/>
      <c r="U134" s="8" t="s">
        <v>301</v>
      </c>
      <c r="V134" s="8" t="s">
        <v>288</v>
      </c>
      <c r="W134" s="10">
        <v>12</v>
      </c>
      <c r="X134" s="11" t="s">
        <v>687</v>
      </c>
      <c r="Y134" s="11" t="s">
        <v>688</v>
      </c>
      <c r="Z134" s="11" t="s">
        <v>689</v>
      </c>
    </row>
    <row r="135" ht="31" customHeight="1" spans="1:26">
      <c r="A135" s="8" t="s">
        <v>161</v>
      </c>
      <c r="B135" s="8" t="s">
        <v>99</v>
      </c>
      <c r="C135" s="8" t="s">
        <v>690</v>
      </c>
      <c r="D135" s="8" t="s">
        <v>285</v>
      </c>
      <c r="E135" s="8" t="s">
        <v>286</v>
      </c>
      <c r="F135" s="8" t="s">
        <v>287</v>
      </c>
      <c r="G135" s="8" t="s">
        <v>90</v>
      </c>
      <c r="H135" s="8" t="s">
        <v>90</v>
      </c>
      <c r="I135" s="8" t="s">
        <v>73</v>
      </c>
      <c r="J135" s="8" t="s">
        <v>293</v>
      </c>
      <c r="K135" s="8">
        <v>4</v>
      </c>
      <c r="L135" s="8">
        <v>8</v>
      </c>
      <c r="M135" s="8">
        <v>12</v>
      </c>
      <c r="N135" s="9">
        <v>0</v>
      </c>
      <c r="O135" s="9">
        <v>0</v>
      </c>
      <c r="P135" s="9">
        <v>0</v>
      </c>
      <c r="Q135" s="9">
        <v>0</v>
      </c>
      <c r="R135" s="9">
        <v>0</v>
      </c>
      <c r="S135" s="9"/>
      <c r="T135" s="8"/>
      <c r="U135" s="8" t="s">
        <v>288</v>
      </c>
      <c r="V135" s="8" t="s">
        <v>288</v>
      </c>
      <c r="W135" s="10">
        <v>32</v>
      </c>
      <c r="X135" s="11" t="s">
        <v>691</v>
      </c>
      <c r="Y135" s="11" t="s">
        <v>692</v>
      </c>
      <c r="Z135" s="11" t="s">
        <v>693</v>
      </c>
    </row>
    <row r="136" ht="31" customHeight="1" spans="1:26">
      <c r="A136" s="8" t="s">
        <v>161</v>
      </c>
      <c r="B136" s="8" t="s">
        <v>99</v>
      </c>
      <c r="C136" s="8" t="s">
        <v>694</v>
      </c>
      <c r="D136" s="8" t="s">
        <v>285</v>
      </c>
      <c r="E136" s="8" t="s">
        <v>286</v>
      </c>
      <c r="F136" s="8" t="s">
        <v>287</v>
      </c>
      <c r="G136" s="8" t="s">
        <v>90</v>
      </c>
      <c r="H136" s="8" t="s">
        <v>90</v>
      </c>
      <c r="I136" s="8" t="s">
        <v>90</v>
      </c>
      <c r="J136" s="8" t="s">
        <v>293</v>
      </c>
      <c r="K136" s="8">
        <v>4</v>
      </c>
      <c r="L136" s="8">
        <v>8</v>
      </c>
      <c r="M136" s="8">
        <v>12</v>
      </c>
      <c r="N136" s="9">
        <v>0</v>
      </c>
      <c r="O136" s="9">
        <v>0</v>
      </c>
      <c r="P136" s="9">
        <v>12</v>
      </c>
      <c r="Q136" s="9">
        <v>0</v>
      </c>
      <c r="R136" s="9">
        <v>0</v>
      </c>
      <c r="S136" s="9"/>
      <c r="T136" s="8"/>
      <c r="U136" s="8" t="s">
        <v>301</v>
      </c>
      <c r="V136" s="8" t="s">
        <v>288</v>
      </c>
      <c r="W136" s="10">
        <v>32</v>
      </c>
      <c r="X136" s="11" t="s">
        <v>695</v>
      </c>
      <c r="Y136" s="11" t="s">
        <v>696</v>
      </c>
      <c r="Z136" s="11" t="s">
        <v>697</v>
      </c>
    </row>
    <row r="137" ht="31" customHeight="1" spans="1:26">
      <c r="A137" s="8" t="s">
        <v>161</v>
      </c>
      <c r="B137" s="8" t="s">
        <v>99</v>
      </c>
      <c r="C137" s="8" t="s">
        <v>698</v>
      </c>
      <c r="D137" s="8" t="s">
        <v>285</v>
      </c>
      <c r="E137" s="8" t="s">
        <v>286</v>
      </c>
      <c r="F137" s="8" t="s">
        <v>287</v>
      </c>
      <c r="G137" s="8" t="s">
        <v>73</v>
      </c>
      <c r="H137" s="8" t="s">
        <v>73</v>
      </c>
      <c r="I137" s="8" t="s">
        <v>73</v>
      </c>
      <c r="J137" s="8" t="s">
        <v>279</v>
      </c>
      <c r="K137" s="8">
        <v>0</v>
      </c>
      <c r="L137" s="8">
        <v>12</v>
      </c>
      <c r="M137" s="8">
        <v>12</v>
      </c>
      <c r="N137" s="9">
        <v>0</v>
      </c>
      <c r="O137" s="9">
        <v>0</v>
      </c>
      <c r="P137" s="9">
        <v>0</v>
      </c>
      <c r="Q137" s="9">
        <v>0</v>
      </c>
      <c r="R137" s="9">
        <v>0</v>
      </c>
      <c r="S137" s="9"/>
      <c r="T137" s="8"/>
      <c r="U137" s="8" t="s">
        <v>301</v>
      </c>
      <c r="V137" s="8" t="s">
        <v>288</v>
      </c>
      <c r="W137" s="10">
        <v>12</v>
      </c>
      <c r="X137" s="11" t="s">
        <v>699</v>
      </c>
      <c r="Y137" s="11" t="s">
        <v>700</v>
      </c>
      <c r="Z137" s="11" t="s">
        <v>701</v>
      </c>
    </row>
    <row r="138" ht="31" customHeight="1" spans="1:26">
      <c r="A138" s="8" t="s">
        <v>161</v>
      </c>
      <c r="B138" s="8" t="s">
        <v>99</v>
      </c>
      <c r="C138" s="8" t="s">
        <v>702</v>
      </c>
      <c r="D138" s="8" t="s">
        <v>285</v>
      </c>
      <c r="E138" s="8" t="s">
        <v>286</v>
      </c>
      <c r="F138" s="8" t="s">
        <v>287</v>
      </c>
      <c r="G138" s="8" t="s">
        <v>73</v>
      </c>
      <c r="H138" s="8" t="s">
        <v>73</v>
      </c>
      <c r="I138" s="8" t="s">
        <v>73</v>
      </c>
      <c r="J138" s="8" t="s">
        <v>279</v>
      </c>
      <c r="K138" s="8">
        <v>0</v>
      </c>
      <c r="L138" s="8">
        <v>12</v>
      </c>
      <c r="M138" s="8">
        <v>12</v>
      </c>
      <c r="N138" s="9">
        <v>0</v>
      </c>
      <c r="O138" s="9">
        <v>0</v>
      </c>
      <c r="P138" s="9">
        <v>0</v>
      </c>
      <c r="Q138" s="9">
        <v>0</v>
      </c>
      <c r="R138" s="9">
        <v>0</v>
      </c>
      <c r="S138" s="9"/>
      <c r="T138" s="8"/>
      <c r="U138" s="8" t="s">
        <v>301</v>
      </c>
      <c r="V138" s="8" t="s">
        <v>288</v>
      </c>
      <c r="W138" s="10">
        <v>12</v>
      </c>
      <c r="X138" s="11" t="s">
        <v>703</v>
      </c>
      <c r="Y138" s="11" t="s">
        <v>704</v>
      </c>
      <c r="Z138" s="11" t="s">
        <v>705</v>
      </c>
    </row>
    <row r="139" ht="31" customHeight="1" spans="1:26">
      <c r="A139" s="12" t="s">
        <v>70</v>
      </c>
      <c r="B139" s="12" t="s">
        <v>51</v>
      </c>
      <c r="C139" s="12" t="s">
        <v>706</v>
      </c>
      <c r="D139" s="12" t="s">
        <v>336</v>
      </c>
      <c r="E139" s="12" t="s">
        <v>337</v>
      </c>
      <c r="F139" s="12" t="s">
        <v>338</v>
      </c>
      <c r="G139" s="12" t="s">
        <v>90</v>
      </c>
      <c r="H139" s="12" t="s">
        <v>90</v>
      </c>
      <c r="I139" s="12" t="s">
        <v>90</v>
      </c>
      <c r="J139" s="12" t="s">
        <v>270</v>
      </c>
      <c r="K139" s="12">
        <v>8</v>
      </c>
      <c r="L139" s="12">
        <v>8</v>
      </c>
      <c r="M139" s="12">
        <v>16</v>
      </c>
      <c r="N139" s="13">
        <v>92</v>
      </c>
      <c r="O139" s="13">
        <v>88</v>
      </c>
      <c r="P139" s="13">
        <v>76</v>
      </c>
      <c r="Q139" s="13">
        <v>64</v>
      </c>
      <c r="R139" s="13">
        <v>88</v>
      </c>
      <c r="S139" s="13"/>
      <c r="T139" s="12"/>
      <c r="U139" s="12" t="s">
        <v>271</v>
      </c>
      <c r="V139" s="12" t="s">
        <v>272</v>
      </c>
      <c r="W139" s="13">
        <v>130</v>
      </c>
      <c r="X139" s="14" t="s">
        <v>707</v>
      </c>
      <c r="Y139" s="14" t="s">
        <v>708</v>
      </c>
      <c r="Z139" s="14" t="s">
        <v>709</v>
      </c>
    </row>
    <row r="140" ht="31" customHeight="1" spans="1:26">
      <c r="A140" s="12" t="s">
        <v>70</v>
      </c>
      <c r="B140" s="12" t="s">
        <v>51</v>
      </c>
      <c r="C140" s="12" t="s">
        <v>710</v>
      </c>
      <c r="D140" s="12" t="s">
        <v>336</v>
      </c>
      <c r="E140" s="12" t="s">
        <v>337</v>
      </c>
      <c r="F140" s="12" t="s">
        <v>338</v>
      </c>
      <c r="G140" s="12" t="s">
        <v>90</v>
      </c>
      <c r="H140" s="12" t="s">
        <v>90</v>
      </c>
      <c r="I140" s="12" t="s">
        <v>90</v>
      </c>
      <c r="J140" s="12" t="s">
        <v>270</v>
      </c>
      <c r="K140" s="12">
        <v>8</v>
      </c>
      <c r="L140" s="12">
        <v>8</v>
      </c>
      <c r="M140" s="12">
        <v>16</v>
      </c>
      <c r="N140" s="13">
        <v>4</v>
      </c>
      <c r="O140" s="13">
        <v>28</v>
      </c>
      <c r="P140" s="13">
        <v>32</v>
      </c>
      <c r="Q140" s="13">
        <v>16</v>
      </c>
      <c r="R140" s="13">
        <v>36</v>
      </c>
      <c r="S140" s="13"/>
      <c r="T140" s="12"/>
      <c r="U140" s="12" t="s">
        <v>280</v>
      </c>
      <c r="V140" s="12" t="s">
        <v>271</v>
      </c>
      <c r="W140" s="13">
        <v>70</v>
      </c>
      <c r="X140" s="14" t="s">
        <v>711</v>
      </c>
      <c r="Y140" s="14" t="s">
        <v>712</v>
      </c>
      <c r="Z140" s="14" t="s">
        <v>713</v>
      </c>
    </row>
    <row r="141" ht="31" customHeight="1" spans="1:26">
      <c r="A141" s="8" t="s">
        <v>70</v>
      </c>
      <c r="B141" s="8" t="s">
        <v>51</v>
      </c>
      <c r="C141" s="8" t="s">
        <v>714</v>
      </c>
      <c r="D141" s="8" t="s">
        <v>267</v>
      </c>
      <c r="E141" s="8" t="s">
        <v>268</v>
      </c>
      <c r="F141" s="8" t="s">
        <v>269</v>
      </c>
      <c r="G141" s="8" t="s">
        <v>90</v>
      </c>
      <c r="H141" s="8" t="s">
        <v>90</v>
      </c>
      <c r="I141" s="8" t="s">
        <v>90</v>
      </c>
      <c r="J141" s="8" t="s">
        <v>347</v>
      </c>
      <c r="K141" s="8">
        <v>8</v>
      </c>
      <c r="L141" s="8">
        <v>4</v>
      </c>
      <c r="M141" s="8">
        <v>12</v>
      </c>
      <c r="N141" s="9">
        <v>596</v>
      </c>
      <c r="O141" s="9">
        <v>556</v>
      </c>
      <c r="P141" s="9">
        <v>620</v>
      </c>
      <c r="Q141" s="9">
        <v>684</v>
      </c>
      <c r="R141" s="9">
        <v>684</v>
      </c>
      <c r="S141" s="9"/>
      <c r="T141" s="8"/>
      <c r="U141" s="8" t="s">
        <v>507</v>
      </c>
      <c r="V141" s="8" t="s">
        <v>507</v>
      </c>
      <c r="W141" s="10">
        <v>800</v>
      </c>
      <c r="X141" s="11" t="s">
        <v>715</v>
      </c>
      <c r="Y141" s="11" t="s">
        <v>716</v>
      </c>
      <c r="Z141" s="11" t="s">
        <v>717</v>
      </c>
    </row>
    <row r="142" ht="31" customHeight="1" spans="1:26">
      <c r="A142" s="8" t="s">
        <v>70</v>
      </c>
      <c r="B142" s="8" t="s">
        <v>51</v>
      </c>
      <c r="C142" s="8" t="s">
        <v>718</v>
      </c>
      <c r="D142" s="8" t="s">
        <v>267</v>
      </c>
      <c r="E142" s="8" t="s">
        <v>268</v>
      </c>
      <c r="F142" s="8" t="s">
        <v>269</v>
      </c>
      <c r="G142" s="8" t="s">
        <v>90</v>
      </c>
      <c r="H142" s="8" t="s">
        <v>90</v>
      </c>
      <c r="I142" s="8" t="s">
        <v>90</v>
      </c>
      <c r="J142" s="8" t="s">
        <v>347</v>
      </c>
      <c r="K142" s="8">
        <v>4</v>
      </c>
      <c r="L142" s="8">
        <v>4</v>
      </c>
      <c r="M142" s="8">
        <v>8</v>
      </c>
      <c r="N142" s="9">
        <v>52</v>
      </c>
      <c r="O142" s="9">
        <v>32</v>
      </c>
      <c r="P142" s="9">
        <v>64</v>
      </c>
      <c r="Q142" s="9">
        <v>28</v>
      </c>
      <c r="R142" s="9">
        <v>156</v>
      </c>
      <c r="S142" s="9"/>
      <c r="T142" s="8"/>
      <c r="U142" s="8" t="s">
        <v>272</v>
      </c>
      <c r="V142" s="8" t="s">
        <v>454</v>
      </c>
      <c r="W142" s="10">
        <v>200</v>
      </c>
      <c r="X142" s="11" t="s">
        <v>719</v>
      </c>
      <c r="Y142" s="11" t="s">
        <v>720</v>
      </c>
      <c r="Z142" s="11" t="s">
        <v>721</v>
      </c>
    </row>
    <row r="143" ht="31" customHeight="1" spans="1:26">
      <c r="A143" s="8" t="s">
        <v>70</v>
      </c>
      <c r="B143" s="8" t="s">
        <v>51</v>
      </c>
      <c r="C143" s="8" t="s">
        <v>722</v>
      </c>
      <c r="D143" s="8" t="s">
        <v>267</v>
      </c>
      <c r="E143" s="8" t="s">
        <v>268</v>
      </c>
      <c r="F143" s="8" t="s">
        <v>269</v>
      </c>
      <c r="G143" s="8" t="s">
        <v>90</v>
      </c>
      <c r="H143" s="8" t="s">
        <v>90</v>
      </c>
      <c r="I143" s="8" t="s">
        <v>90</v>
      </c>
      <c r="J143" s="8" t="s">
        <v>347</v>
      </c>
      <c r="K143" s="8">
        <v>4</v>
      </c>
      <c r="L143" s="8">
        <v>24</v>
      </c>
      <c r="M143" s="8">
        <v>28</v>
      </c>
      <c r="N143" s="9">
        <v>48</v>
      </c>
      <c r="O143" s="9">
        <v>92</v>
      </c>
      <c r="P143" s="9">
        <v>12</v>
      </c>
      <c r="Q143" s="9">
        <v>64</v>
      </c>
      <c r="R143" s="9">
        <v>96</v>
      </c>
      <c r="S143" s="9"/>
      <c r="T143" s="8"/>
      <c r="U143" s="8" t="s">
        <v>271</v>
      </c>
      <c r="V143" s="8" t="s">
        <v>272</v>
      </c>
      <c r="W143" s="10">
        <v>130</v>
      </c>
      <c r="X143" s="11" t="s">
        <v>723</v>
      </c>
      <c r="Y143" s="11" t="s">
        <v>724</v>
      </c>
      <c r="Z143" s="11" t="s">
        <v>725</v>
      </c>
    </row>
    <row r="144" ht="31" customHeight="1" spans="1:26">
      <c r="A144" s="8" t="s">
        <v>70</v>
      </c>
      <c r="B144" s="8" t="s">
        <v>51</v>
      </c>
      <c r="C144" s="8" t="s">
        <v>726</v>
      </c>
      <c r="D144" s="8" t="s">
        <v>267</v>
      </c>
      <c r="E144" s="8" t="s">
        <v>384</v>
      </c>
      <c r="F144" s="8" t="s">
        <v>278</v>
      </c>
      <c r="G144" s="8" t="s">
        <v>90</v>
      </c>
      <c r="H144" s="8" t="s">
        <v>90</v>
      </c>
      <c r="I144" s="8" t="s">
        <v>73</v>
      </c>
      <c r="J144" s="8" t="s">
        <v>279</v>
      </c>
      <c r="K144" s="8">
        <v>0</v>
      </c>
      <c r="L144" s="8">
        <v>8</v>
      </c>
      <c r="M144" s="8">
        <v>8</v>
      </c>
      <c r="N144" s="9">
        <v>0</v>
      </c>
      <c r="O144" s="9">
        <v>4</v>
      </c>
      <c r="P144" s="9">
        <v>16</v>
      </c>
      <c r="Q144" s="9">
        <v>28</v>
      </c>
      <c r="R144" s="9">
        <v>36</v>
      </c>
      <c r="S144" s="9"/>
      <c r="T144" s="8"/>
      <c r="U144" s="8" t="s">
        <v>280</v>
      </c>
      <c r="V144" s="8" t="s">
        <v>271</v>
      </c>
      <c r="W144" s="10">
        <v>70</v>
      </c>
      <c r="X144" s="11" t="s">
        <v>727</v>
      </c>
      <c r="Y144" s="11" t="s">
        <v>728</v>
      </c>
      <c r="Z144" s="11" t="s">
        <v>729</v>
      </c>
    </row>
    <row r="145" ht="31" customHeight="1" spans="1:26">
      <c r="A145" s="8" t="s">
        <v>70</v>
      </c>
      <c r="B145" s="8" t="s">
        <v>51</v>
      </c>
      <c r="C145" s="8" t="s">
        <v>730</v>
      </c>
      <c r="D145" s="8" t="s">
        <v>267</v>
      </c>
      <c r="E145" s="8" t="s">
        <v>384</v>
      </c>
      <c r="F145" s="8" t="s">
        <v>278</v>
      </c>
      <c r="G145" s="8" t="s">
        <v>90</v>
      </c>
      <c r="H145" s="8" t="s">
        <v>90</v>
      </c>
      <c r="I145" s="8" t="s">
        <v>73</v>
      </c>
      <c r="J145" s="8" t="s">
        <v>279</v>
      </c>
      <c r="K145" s="8">
        <v>0</v>
      </c>
      <c r="L145" s="8">
        <v>8</v>
      </c>
      <c r="M145" s="8">
        <v>8</v>
      </c>
      <c r="N145" s="9">
        <v>36</v>
      </c>
      <c r="O145" s="9">
        <v>0</v>
      </c>
      <c r="P145" s="9">
        <v>12</v>
      </c>
      <c r="Q145" s="9">
        <v>8</v>
      </c>
      <c r="R145" s="9">
        <v>28</v>
      </c>
      <c r="S145" s="9"/>
      <c r="T145" s="8"/>
      <c r="U145" s="8" t="s">
        <v>288</v>
      </c>
      <c r="V145" s="8" t="s">
        <v>280</v>
      </c>
      <c r="W145" s="10">
        <v>40</v>
      </c>
      <c r="X145" s="11" t="s">
        <v>731</v>
      </c>
      <c r="Y145" s="11" t="s">
        <v>732</v>
      </c>
      <c r="Z145" s="11" t="s">
        <v>733</v>
      </c>
    </row>
    <row r="146" ht="31" customHeight="1" spans="1:26">
      <c r="A146" s="8" t="s">
        <v>70</v>
      </c>
      <c r="B146" s="8" t="s">
        <v>51</v>
      </c>
      <c r="C146" s="8" t="s">
        <v>648</v>
      </c>
      <c r="D146" s="8" t="s">
        <v>267</v>
      </c>
      <c r="E146" s="8" t="s">
        <v>277</v>
      </c>
      <c r="F146" s="8" t="s">
        <v>278</v>
      </c>
      <c r="G146" s="8" t="s">
        <v>90</v>
      </c>
      <c r="H146" s="8" t="s">
        <v>73</v>
      </c>
      <c r="I146" s="8" t="s">
        <v>73</v>
      </c>
      <c r="J146" s="8" t="s">
        <v>279</v>
      </c>
      <c r="K146" s="8">
        <v>0</v>
      </c>
      <c r="L146" s="8">
        <v>20</v>
      </c>
      <c r="M146" s="8">
        <v>20</v>
      </c>
      <c r="N146" s="9">
        <v>0</v>
      </c>
      <c r="O146" s="9">
        <v>12</v>
      </c>
      <c r="P146" s="9">
        <v>0</v>
      </c>
      <c r="Q146" s="9">
        <v>8</v>
      </c>
      <c r="R146" s="9">
        <v>24</v>
      </c>
      <c r="S146" s="9"/>
      <c r="T146" s="8"/>
      <c r="U146" s="8" t="s">
        <v>288</v>
      </c>
      <c r="V146" s="8" t="s">
        <v>288</v>
      </c>
      <c r="W146" s="10">
        <v>30</v>
      </c>
      <c r="X146" s="11" t="s">
        <v>734</v>
      </c>
      <c r="Y146" s="11" t="s">
        <v>735</v>
      </c>
      <c r="Z146" s="11" t="s">
        <v>736</v>
      </c>
    </row>
    <row r="147" ht="66" customHeight="1" spans="1:26">
      <c r="A147" s="8" t="s">
        <v>70</v>
      </c>
      <c r="B147" s="8" t="s">
        <v>51</v>
      </c>
      <c r="C147" s="8" t="s">
        <v>737</v>
      </c>
      <c r="D147" s="8" t="s">
        <v>267</v>
      </c>
      <c r="E147" s="8" t="s">
        <v>277</v>
      </c>
      <c r="F147" s="8" t="s">
        <v>278</v>
      </c>
      <c r="G147" s="8" t="s">
        <v>90</v>
      </c>
      <c r="H147" s="8" t="s">
        <v>90</v>
      </c>
      <c r="I147" s="8" t="s">
        <v>73</v>
      </c>
      <c r="J147" s="8" t="s">
        <v>279</v>
      </c>
      <c r="K147" s="8">
        <v>0</v>
      </c>
      <c r="L147" s="8">
        <v>16</v>
      </c>
      <c r="M147" s="8">
        <v>16</v>
      </c>
      <c r="N147" s="9">
        <v>0</v>
      </c>
      <c r="O147" s="9">
        <v>4</v>
      </c>
      <c r="P147" s="9">
        <v>0</v>
      </c>
      <c r="Q147" s="9">
        <v>4</v>
      </c>
      <c r="R147" s="9">
        <v>16</v>
      </c>
      <c r="S147" s="9"/>
      <c r="T147" s="8"/>
      <c r="U147" s="8" t="s">
        <v>288</v>
      </c>
      <c r="V147" s="8" t="s">
        <v>280</v>
      </c>
      <c r="W147" s="10">
        <v>40</v>
      </c>
      <c r="X147" s="11" t="s">
        <v>738</v>
      </c>
      <c r="Y147" s="11" t="s">
        <v>739</v>
      </c>
      <c r="Z147" s="11" t="s">
        <v>740</v>
      </c>
    </row>
    <row r="148" ht="82.5" customHeight="1" spans="1:26">
      <c r="A148" s="8" t="s">
        <v>70</v>
      </c>
      <c r="B148" s="8" t="s">
        <v>51</v>
      </c>
      <c r="C148" s="8" t="s">
        <v>741</v>
      </c>
      <c r="D148" s="8" t="s">
        <v>267</v>
      </c>
      <c r="E148" s="8" t="s">
        <v>277</v>
      </c>
      <c r="F148" s="8" t="s">
        <v>278</v>
      </c>
      <c r="G148" s="8" t="s">
        <v>90</v>
      </c>
      <c r="H148" s="8" t="s">
        <v>73</v>
      </c>
      <c r="I148" s="8" t="s">
        <v>73</v>
      </c>
      <c r="J148" s="8" t="s">
        <v>279</v>
      </c>
      <c r="K148" s="8">
        <v>0</v>
      </c>
      <c r="L148" s="8">
        <v>8</v>
      </c>
      <c r="M148" s="8">
        <v>8</v>
      </c>
      <c r="N148" s="9">
        <v>20</v>
      </c>
      <c r="O148" s="9">
        <v>20</v>
      </c>
      <c r="P148" s="9">
        <v>8</v>
      </c>
      <c r="Q148" s="9">
        <v>8</v>
      </c>
      <c r="R148" s="9">
        <v>12</v>
      </c>
      <c r="S148" s="9"/>
      <c r="T148" s="8"/>
      <c r="U148" s="8" t="s">
        <v>288</v>
      </c>
      <c r="V148" s="8" t="s">
        <v>288</v>
      </c>
      <c r="W148" s="10">
        <v>20</v>
      </c>
      <c r="X148" s="11" t="s">
        <v>742</v>
      </c>
      <c r="Y148" s="11" t="s">
        <v>743</v>
      </c>
      <c r="Z148" s="11" t="s">
        <v>744</v>
      </c>
    </row>
    <row r="149" ht="33" customHeight="1" spans="1:26">
      <c r="A149" s="8" t="s">
        <v>70</v>
      </c>
      <c r="B149" s="8" t="s">
        <v>51</v>
      </c>
      <c r="C149" s="8" t="s">
        <v>745</v>
      </c>
      <c r="D149" s="8" t="s">
        <v>267</v>
      </c>
      <c r="E149" s="8" t="s">
        <v>277</v>
      </c>
      <c r="F149" s="8" t="s">
        <v>278</v>
      </c>
      <c r="G149" s="8" t="s">
        <v>90</v>
      </c>
      <c r="H149" s="8" t="s">
        <v>73</v>
      </c>
      <c r="I149" s="8" t="s">
        <v>73</v>
      </c>
      <c r="J149" s="8" t="s">
        <v>279</v>
      </c>
      <c r="K149" s="8">
        <v>0</v>
      </c>
      <c r="L149" s="8">
        <v>8</v>
      </c>
      <c r="M149" s="8">
        <v>8</v>
      </c>
      <c r="N149" s="9">
        <v>0</v>
      </c>
      <c r="O149" s="9">
        <v>8</v>
      </c>
      <c r="P149" s="9">
        <v>0</v>
      </c>
      <c r="Q149" s="9">
        <v>12</v>
      </c>
      <c r="R149" s="9">
        <v>12</v>
      </c>
      <c r="S149" s="9"/>
      <c r="T149" s="8"/>
      <c r="U149" s="8" t="s">
        <v>288</v>
      </c>
      <c r="V149" s="8" t="s">
        <v>288</v>
      </c>
      <c r="W149" s="10">
        <v>20</v>
      </c>
      <c r="X149" s="11" t="s">
        <v>746</v>
      </c>
      <c r="Y149" s="11" t="s">
        <v>747</v>
      </c>
      <c r="Z149" s="11" t="s">
        <v>748</v>
      </c>
    </row>
    <row r="150" ht="66" customHeight="1" spans="1:26">
      <c r="A150" s="8" t="s">
        <v>70</v>
      </c>
      <c r="B150" s="8" t="s">
        <v>51</v>
      </c>
      <c r="C150" s="8" t="s">
        <v>749</v>
      </c>
      <c r="D150" s="8" t="s">
        <v>285</v>
      </c>
      <c r="E150" s="8" t="s">
        <v>286</v>
      </c>
      <c r="F150" s="8" t="s">
        <v>287</v>
      </c>
      <c r="G150" s="8" t="s">
        <v>90</v>
      </c>
      <c r="H150" s="8" t="s">
        <v>90</v>
      </c>
      <c r="I150" s="8" t="s">
        <v>90</v>
      </c>
      <c r="J150" s="8" t="s">
        <v>293</v>
      </c>
      <c r="K150" s="8">
        <v>8</v>
      </c>
      <c r="L150" s="8">
        <v>4</v>
      </c>
      <c r="M150" s="8">
        <v>8</v>
      </c>
      <c r="N150" s="9">
        <v>0</v>
      </c>
      <c r="O150" s="9">
        <v>0</v>
      </c>
      <c r="P150" s="9">
        <v>0</v>
      </c>
      <c r="Q150" s="9">
        <v>8</v>
      </c>
      <c r="R150" s="9">
        <v>12</v>
      </c>
      <c r="S150" s="9"/>
      <c r="T150" s="8"/>
      <c r="U150" s="8" t="s">
        <v>288</v>
      </c>
      <c r="V150" s="8" t="s">
        <v>280</v>
      </c>
      <c r="W150" s="10">
        <v>40</v>
      </c>
      <c r="X150" s="11" t="s">
        <v>750</v>
      </c>
      <c r="Y150" s="11" t="s">
        <v>751</v>
      </c>
      <c r="Z150" s="11" t="s">
        <v>752</v>
      </c>
    </row>
    <row r="151" ht="49.5" customHeight="1" spans="1:26">
      <c r="A151" s="8" t="s">
        <v>70</v>
      </c>
      <c r="B151" s="8" t="s">
        <v>51</v>
      </c>
      <c r="C151" s="8" t="s">
        <v>753</v>
      </c>
      <c r="D151" s="8" t="s">
        <v>267</v>
      </c>
      <c r="E151" s="8" t="s">
        <v>277</v>
      </c>
      <c r="F151" s="8" t="s">
        <v>278</v>
      </c>
      <c r="G151" s="8" t="s">
        <v>90</v>
      </c>
      <c r="H151" s="8" t="s">
        <v>73</v>
      </c>
      <c r="I151" s="8" t="s">
        <v>73</v>
      </c>
      <c r="J151" s="8" t="s">
        <v>279</v>
      </c>
      <c r="K151" s="8">
        <v>0</v>
      </c>
      <c r="L151" s="8">
        <v>16</v>
      </c>
      <c r="M151" s="8">
        <v>16</v>
      </c>
      <c r="N151" s="9">
        <v>4</v>
      </c>
      <c r="O151" s="9">
        <v>0</v>
      </c>
      <c r="P151" s="9">
        <v>0</v>
      </c>
      <c r="Q151" s="9">
        <v>8</v>
      </c>
      <c r="R151" s="9">
        <v>4</v>
      </c>
      <c r="S151" s="9"/>
      <c r="T151" s="8"/>
      <c r="U151" s="8" t="s">
        <v>288</v>
      </c>
      <c r="V151" s="8" t="s">
        <v>280</v>
      </c>
      <c r="W151" s="10">
        <v>40</v>
      </c>
      <c r="X151" s="11" t="s">
        <v>754</v>
      </c>
      <c r="Y151" s="11" t="s">
        <v>755</v>
      </c>
      <c r="Z151" s="11" t="s">
        <v>744</v>
      </c>
    </row>
    <row r="152" ht="49.5" customHeight="1" spans="1:26">
      <c r="A152" s="8" t="s">
        <v>70</v>
      </c>
      <c r="B152" s="8" t="s">
        <v>51</v>
      </c>
      <c r="C152" s="8" t="s">
        <v>756</v>
      </c>
      <c r="D152" s="8" t="s">
        <v>285</v>
      </c>
      <c r="E152" s="8" t="s">
        <v>286</v>
      </c>
      <c r="F152" s="8" t="s">
        <v>287</v>
      </c>
      <c r="G152" s="8" t="s">
        <v>90</v>
      </c>
      <c r="H152" s="8" t="s">
        <v>90</v>
      </c>
      <c r="I152" s="8" t="s">
        <v>90</v>
      </c>
      <c r="J152" s="8" t="s">
        <v>279</v>
      </c>
      <c r="K152" s="8">
        <v>0</v>
      </c>
      <c r="L152" s="8">
        <v>8</v>
      </c>
      <c r="M152" s="8">
        <v>8</v>
      </c>
      <c r="N152" s="9">
        <v>0</v>
      </c>
      <c r="O152" s="9">
        <v>0</v>
      </c>
      <c r="P152" s="9">
        <v>0</v>
      </c>
      <c r="Q152" s="9">
        <v>0</v>
      </c>
      <c r="R152" s="9">
        <v>0</v>
      </c>
      <c r="S152" s="9"/>
      <c r="T152" s="8"/>
      <c r="U152" s="8" t="s">
        <v>301</v>
      </c>
      <c r="V152" s="8" t="s">
        <v>288</v>
      </c>
      <c r="W152" s="10">
        <v>12</v>
      </c>
      <c r="X152" s="11" t="s">
        <v>757</v>
      </c>
      <c r="Y152" s="11" t="s">
        <v>758</v>
      </c>
      <c r="Z152" s="11" t="s">
        <v>744</v>
      </c>
    </row>
    <row r="153" ht="16.5" customHeight="1" spans="1:26">
      <c r="A153" s="8" t="s">
        <v>70</v>
      </c>
      <c r="B153" s="8" t="s">
        <v>51</v>
      </c>
      <c r="C153" s="8" t="s">
        <v>759</v>
      </c>
      <c r="D153" s="8" t="s">
        <v>267</v>
      </c>
      <c r="E153" s="8" t="s">
        <v>317</v>
      </c>
      <c r="F153" s="8" t="s">
        <v>278</v>
      </c>
      <c r="G153" s="8" t="s">
        <v>90</v>
      </c>
      <c r="H153" s="8" t="s">
        <v>73</v>
      </c>
      <c r="I153" s="8" t="s">
        <v>73</v>
      </c>
      <c r="J153" s="8" t="s">
        <v>279</v>
      </c>
      <c r="K153" s="8">
        <v>0</v>
      </c>
      <c r="L153" s="8">
        <v>8</v>
      </c>
      <c r="M153" s="8">
        <v>8</v>
      </c>
      <c r="N153" s="9">
        <v>4</v>
      </c>
      <c r="O153" s="9">
        <v>8</v>
      </c>
      <c r="P153" s="9">
        <v>12</v>
      </c>
      <c r="Q153" s="9">
        <v>0</v>
      </c>
      <c r="R153" s="9">
        <v>0</v>
      </c>
      <c r="S153" s="9"/>
      <c r="T153" s="8"/>
      <c r="U153" s="8" t="s">
        <v>301</v>
      </c>
      <c r="V153" s="8" t="s">
        <v>288</v>
      </c>
      <c r="W153" s="10">
        <v>12</v>
      </c>
      <c r="X153" s="11" t="s">
        <v>584</v>
      </c>
      <c r="Y153" s="11" t="s">
        <v>760</v>
      </c>
      <c r="Z153" s="11" t="s">
        <v>744</v>
      </c>
    </row>
    <row r="154" ht="16.5" customHeight="1" spans="1:26">
      <c r="A154" s="8" t="s">
        <v>70</v>
      </c>
      <c r="B154" s="8" t="s">
        <v>51</v>
      </c>
      <c r="C154" s="8" t="s">
        <v>761</v>
      </c>
      <c r="D154" s="8" t="s">
        <v>267</v>
      </c>
      <c r="E154" s="8" t="s">
        <v>317</v>
      </c>
      <c r="F154" s="8" t="s">
        <v>278</v>
      </c>
      <c r="G154" s="8" t="s">
        <v>90</v>
      </c>
      <c r="H154" s="8" t="s">
        <v>73</v>
      </c>
      <c r="I154" s="8" t="s">
        <v>73</v>
      </c>
      <c r="J154" s="8" t="s">
        <v>279</v>
      </c>
      <c r="K154" s="8">
        <v>0</v>
      </c>
      <c r="L154" s="8">
        <v>8</v>
      </c>
      <c r="M154" s="8">
        <v>8</v>
      </c>
      <c r="N154" s="9">
        <v>0</v>
      </c>
      <c r="O154" s="9">
        <v>0</v>
      </c>
      <c r="P154" s="9">
        <v>0</v>
      </c>
      <c r="Q154" s="9">
        <v>0</v>
      </c>
      <c r="R154" s="9">
        <v>0</v>
      </c>
      <c r="S154" s="9"/>
      <c r="T154" s="8"/>
      <c r="U154" s="8" t="s">
        <v>301</v>
      </c>
      <c r="V154" s="8" t="s">
        <v>288</v>
      </c>
      <c r="W154" s="10">
        <v>12</v>
      </c>
      <c r="X154" s="11" t="s">
        <v>762</v>
      </c>
      <c r="Y154" s="11" t="s">
        <v>763</v>
      </c>
      <c r="Z154" s="11" t="s">
        <v>744</v>
      </c>
    </row>
    <row r="155" ht="49.5" customHeight="1" spans="1:26">
      <c r="A155" s="8" t="s">
        <v>70</v>
      </c>
      <c r="B155" s="8" t="s">
        <v>51</v>
      </c>
      <c r="C155" s="8" t="s">
        <v>764</v>
      </c>
      <c r="D155" s="8" t="s">
        <v>267</v>
      </c>
      <c r="E155" s="8" t="s">
        <v>277</v>
      </c>
      <c r="F155" s="8" t="s">
        <v>278</v>
      </c>
      <c r="G155" s="8" t="s">
        <v>90</v>
      </c>
      <c r="H155" s="8" t="s">
        <v>73</v>
      </c>
      <c r="I155" s="8" t="s">
        <v>73</v>
      </c>
      <c r="J155" s="8" t="s">
        <v>279</v>
      </c>
      <c r="K155" s="8">
        <v>0</v>
      </c>
      <c r="L155" s="8">
        <v>8</v>
      </c>
      <c r="M155" s="8">
        <v>8</v>
      </c>
      <c r="N155" s="9">
        <v>0</v>
      </c>
      <c r="O155" s="9">
        <v>0</v>
      </c>
      <c r="P155" s="9">
        <v>0</v>
      </c>
      <c r="Q155" s="9">
        <v>0</v>
      </c>
      <c r="R155" s="9">
        <v>0</v>
      </c>
      <c r="S155" s="9"/>
      <c r="T155" s="8"/>
      <c r="U155" s="8" t="s">
        <v>301</v>
      </c>
      <c r="V155" s="8" t="s">
        <v>288</v>
      </c>
      <c r="W155" s="10">
        <v>0</v>
      </c>
      <c r="X155" s="11" t="s">
        <v>765</v>
      </c>
      <c r="Y155" s="11" t="s">
        <v>766</v>
      </c>
      <c r="Z155" s="11" t="s">
        <v>767</v>
      </c>
    </row>
    <row r="156" ht="16.5" customHeight="1" spans="1:26">
      <c r="A156" s="8" t="s">
        <v>70</v>
      </c>
      <c r="B156" s="8" t="s">
        <v>51</v>
      </c>
      <c r="C156" s="8" t="s">
        <v>768</v>
      </c>
      <c r="D156" s="8" t="s">
        <v>267</v>
      </c>
      <c r="E156" s="8" t="s">
        <v>277</v>
      </c>
      <c r="F156" s="8" t="s">
        <v>278</v>
      </c>
      <c r="G156" s="8" t="s">
        <v>90</v>
      </c>
      <c r="H156" s="8" t="s">
        <v>73</v>
      </c>
      <c r="I156" s="8" t="s">
        <v>73</v>
      </c>
      <c r="J156" s="8" t="s">
        <v>279</v>
      </c>
      <c r="K156" s="8">
        <v>0</v>
      </c>
      <c r="L156" s="8">
        <v>8</v>
      </c>
      <c r="M156" s="8">
        <v>8</v>
      </c>
      <c r="N156" s="9">
        <v>0</v>
      </c>
      <c r="O156" s="9">
        <v>0</v>
      </c>
      <c r="P156" s="9">
        <v>0</v>
      </c>
      <c r="Q156" s="9">
        <v>0</v>
      </c>
      <c r="R156" s="9">
        <v>0</v>
      </c>
      <c r="S156" s="9"/>
      <c r="T156" s="8"/>
      <c r="U156" s="8" t="s">
        <v>301</v>
      </c>
      <c r="V156" s="8" t="s">
        <v>288</v>
      </c>
      <c r="W156" s="10">
        <v>0</v>
      </c>
      <c r="X156" s="11" t="s">
        <v>769</v>
      </c>
      <c r="Y156" s="11" t="s">
        <v>770</v>
      </c>
      <c r="Z156" s="11" t="s">
        <v>744</v>
      </c>
    </row>
    <row r="157" ht="16.5" customHeight="1" spans="1:26">
      <c r="A157" s="8" t="s">
        <v>70</v>
      </c>
      <c r="B157" s="8" t="s">
        <v>51</v>
      </c>
      <c r="C157" s="8" t="s">
        <v>771</v>
      </c>
      <c r="D157" s="8" t="s">
        <v>267</v>
      </c>
      <c r="E157" s="8" t="s">
        <v>277</v>
      </c>
      <c r="F157" s="8" t="s">
        <v>278</v>
      </c>
      <c r="G157" s="8" t="s">
        <v>90</v>
      </c>
      <c r="H157" s="8" t="s">
        <v>73</v>
      </c>
      <c r="I157" s="8" t="s">
        <v>73</v>
      </c>
      <c r="J157" s="8" t="s">
        <v>279</v>
      </c>
      <c r="K157" s="8">
        <v>0</v>
      </c>
      <c r="L157" s="8">
        <v>8</v>
      </c>
      <c r="M157" s="8">
        <v>8</v>
      </c>
      <c r="N157" s="9">
        <v>0</v>
      </c>
      <c r="O157" s="9">
        <v>0</v>
      </c>
      <c r="P157" s="9">
        <v>0</v>
      </c>
      <c r="Q157" s="9">
        <v>0</v>
      </c>
      <c r="R157" s="9">
        <v>0</v>
      </c>
      <c r="S157" s="9"/>
      <c r="T157" s="8"/>
      <c r="U157" s="8" t="s">
        <v>301</v>
      </c>
      <c r="V157" s="8" t="s">
        <v>288</v>
      </c>
      <c r="W157" s="10">
        <v>12</v>
      </c>
      <c r="X157" s="11" t="s">
        <v>772</v>
      </c>
      <c r="Y157" s="11" t="s">
        <v>773</v>
      </c>
      <c r="Z157" s="11" t="s">
        <v>744</v>
      </c>
    </row>
    <row r="158" ht="16.5" customHeight="1" spans="1:26">
      <c r="A158" s="8" t="s">
        <v>70</v>
      </c>
      <c r="B158" s="8" t="s">
        <v>51</v>
      </c>
      <c r="C158" s="8" t="s">
        <v>774</v>
      </c>
      <c r="D158" s="8" t="s">
        <v>267</v>
      </c>
      <c r="E158" s="8" t="s">
        <v>277</v>
      </c>
      <c r="F158" s="8" t="s">
        <v>278</v>
      </c>
      <c r="G158" s="8" t="s">
        <v>90</v>
      </c>
      <c r="H158" s="8" t="s">
        <v>73</v>
      </c>
      <c r="I158" s="8" t="s">
        <v>73</v>
      </c>
      <c r="J158" s="8" t="s">
        <v>279</v>
      </c>
      <c r="K158" s="8">
        <v>0</v>
      </c>
      <c r="L158" s="8">
        <v>8</v>
      </c>
      <c r="M158" s="8">
        <v>8</v>
      </c>
      <c r="N158" s="9">
        <v>0</v>
      </c>
      <c r="O158" s="9">
        <v>0</v>
      </c>
      <c r="P158" s="9">
        <v>0</v>
      </c>
      <c r="Q158" s="9">
        <v>0</v>
      </c>
      <c r="R158" s="9">
        <v>0</v>
      </c>
      <c r="S158" s="9"/>
      <c r="T158" s="8"/>
      <c r="U158" s="8" t="s">
        <v>301</v>
      </c>
      <c r="V158" s="8" t="s">
        <v>288</v>
      </c>
      <c r="W158" s="10">
        <v>0</v>
      </c>
      <c r="X158" s="11" t="s">
        <v>775</v>
      </c>
      <c r="Y158" s="11" t="s">
        <v>776</v>
      </c>
      <c r="Z158" s="11" t="s">
        <v>744</v>
      </c>
    </row>
    <row r="159" ht="16.5" customHeight="1" spans="1:26">
      <c r="A159" s="8" t="s">
        <v>70</v>
      </c>
      <c r="B159" s="8" t="s">
        <v>51</v>
      </c>
      <c r="C159" s="8" t="s">
        <v>777</v>
      </c>
      <c r="D159" s="8" t="s">
        <v>336</v>
      </c>
      <c r="E159" s="8" t="s">
        <v>268</v>
      </c>
      <c r="F159" s="8" t="s">
        <v>338</v>
      </c>
      <c r="G159" s="8" t="s">
        <v>90</v>
      </c>
      <c r="H159" s="8" t="s">
        <v>90</v>
      </c>
      <c r="I159" s="8" t="s">
        <v>90</v>
      </c>
      <c r="J159" s="8" t="s">
        <v>270</v>
      </c>
      <c r="K159" s="8">
        <v>8</v>
      </c>
      <c r="L159" s="8">
        <v>4</v>
      </c>
      <c r="M159" s="8">
        <v>12</v>
      </c>
      <c r="N159" s="9">
        <v>8</v>
      </c>
      <c r="O159" s="9">
        <v>60</v>
      </c>
      <c r="P159" s="9">
        <v>24</v>
      </c>
      <c r="Q159" s="9">
        <v>0</v>
      </c>
      <c r="R159" s="9">
        <v>0</v>
      </c>
      <c r="S159" s="9"/>
      <c r="T159" s="8"/>
      <c r="U159" s="8" t="s">
        <v>301</v>
      </c>
      <c r="V159" s="8" t="s">
        <v>288</v>
      </c>
      <c r="W159" s="10">
        <v>30</v>
      </c>
      <c r="X159" s="11" t="s">
        <v>778</v>
      </c>
      <c r="Y159" s="11" t="s">
        <v>779</v>
      </c>
      <c r="Z159" s="11" t="s">
        <v>780</v>
      </c>
    </row>
    <row r="160" ht="33" customHeight="1" spans="1:26">
      <c r="A160" s="8" t="s">
        <v>70</v>
      </c>
      <c r="B160" s="8" t="s">
        <v>51</v>
      </c>
      <c r="C160" s="8" t="s">
        <v>781</v>
      </c>
      <c r="D160" s="8" t="s">
        <v>285</v>
      </c>
      <c r="E160" s="8" t="s">
        <v>286</v>
      </c>
      <c r="F160" s="8" t="s">
        <v>287</v>
      </c>
      <c r="G160" s="8" t="s">
        <v>90</v>
      </c>
      <c r="H160" s="8" t="s">
        <v>90</v>
      </c>
      <c r="I160" s="8" t="s">
        <v>90</v>
      </c>
      <c r="J160" s="8" t="s">
        <v>293</v>
      </c>
      <c r="K160" s="8">
        <v>12</v>
      </c>
      <c r="L160" s="8">
        <v>4</v>
      </c>
      <c r="M160" s="8">
        <v>12</v>
      </c>
      <c r="N160" s="9">
        <v>4</v>
      </c>
      <c r="O160" s="9">
        <v>0</v>
      </c>
      <c r="P160" s="9">
        <v>0</v>
      </c>
      <c r="Q160" s="9">
        <v>0</v>
      </c>
      <c r="R160" s="9">
        <v>0</v>
      </c>
      <c r="S160" s="9"/>
      <c r="T160" s="8"/>
      <c r="U160" s="8" t="s">
        <v>301</v>
      </c>
      <c r="V160" s="8" t="s">
        <v>288</v>
      </c>
      <c r="W160" s="10">
        <v>40</v>
      </c>
      <c r="X160" s="11" t="s">
        <v>782</v>
      </c>
      <c r="Y160" s="11" t="s">
        <v>783</v>
      </c>
      <c r="Z160" s="11" t="s">
        <v>744</v>
      </c>
    </row>
    <row r="161" ht="33" customHeight="1" spans="1:26">
      <c r="A161" s="8" t="s">
        <v>70</v>
      </c>
      <c r="B161" s="8" t="s">
        <v>51</v>
      </c>
      <c r="C161" s="8" t="s">
        <v>784</v>
      </c>
      <c r="D161" s="8" t="s">
        <v>285</v>
      </c>
      <c r="E161" s="8" t="s">
        <v>286</v>
      </c>
      <c r="F161" s="8" t="s">
        <v>287</v>
      </c>
      <c r="G161" s="8" t="s">
        <v>90</v>
      </c>
      <c r="H161" s="8" t="s">
        <v>90</v>
      </c>
      <c r="I161" s="8" t="s">
        <v>73</v>
      </c>
      <c r="J161" s="8" t="s">
        <v>279</v>
      </c>
      <c r="K161" s="8">
        <v>0</v>
      </c>
      <c r="L161" s="8">
        <v>8</v>
      </c>
      <c r="M161" s="8">
        <v>8</v>
      </c>
      <c r="N161" s="9">
        <v>0</v>
      </c>
      <c r="O161" s="9">
        <v>0</v>
      </c>
      <c r="P161" s="9">
        <v>0</v>
      </c>
      <c r="Q161" s="9">
        <v>0</v>
      </c>
      <c r="R161" s="9">
        <v>0</v>
      </c>
      <c r="S161" s="9"/>
      <c r="T161" s="8"/>
      <c r="U161" s="8" t="s">
        <v>301</v>
      </c>
      <c r="V161" s="8" t="s">
        <v>288</v>
      </c>
      <c r="W161" s="10">
        <v>0</v>
      </c>
      <c r="X161" s="11" t="s">
        <v>785</v>
      </c>
      <c r="Y161" s="11" t="s">
        <v>786</v>
      </c>
      <c r="Z161" s="11" t="s">
        <v>744</v>
      </c>
    </row>
    <row r="162" ht="66" customHeight="1" spans="1:26">
      <c r="A162" s="8" t="s">
        <v>70</v>
      </c>
      <c r="B162" s="8" t="s">
        <v>51</v>
      </c>
      <c r="C162" s="8" t="s">
        <v>787</v>
      </c>
      <c r="D162" s="8" t="s">
        <v>285</v>
      </c>
      <c r="E162" s="8" t="s">
        <v>286</v>
      </c>
      <c r="F162" s="8" t="s">
        <v>287</v>
      </c>
      <c r="G162" s="8" t="s">
        <v>90</v>
      </c>
      <c r="H162" s="8" t="s">
        <v>90</v>
      </c>
      <c r="I162" s="8" t="s">
        <v>73</v>
      </c>
      <c r="J162" s="8" t="s">
        <v>279</v>
      </c>
      <c r="K162" s="8">
        <v>0</v>
      </c>
      <c r="L162" s="8">
        <v>16</v>
      </c>
      <c r="M162" s="8">
        <v>16</v>
      </c>
      <c r="N162" s="9">
        <v>0</v>
      </c>
      <c r="O162" s="9">
        <v>0</v>
      </c>
      <c r="P162" s="9">
        <v>0</v>
      </c>
      <c r="Q162" s="9">
        <v>0</v>
      </c>
      <c r="R162" s="9">
        <v>0</v>
      </c>
      <c r="S162" s="9"/>
      <c r="T162" s="8"/>
      <c r="U162" s="8" t="s">
        <v>301</v>
      </c>
      <c r="V162" s="8" t="s">
        <v>288</v>
      </c>
      <c r="W162" s="10">
        <v>12</v>
      </c>
      <c r="X162" s="11" t="s">
        <v>788</v>
      </c>
      <c r="Y162" s="11" t="s">
        <v>789</v>
      </c>
      <c r="Z162" s="11" t="s">
        <v>744</v>
      </c>
    </row>
    <row r="163" ht="33" customHeight="1" spans="1:26">
      <c r="A163" s="8" t="s">
        <v>70</v>
      </c>
      <c r="B163" s="8" t="s">
        <v>51</v>
      </c>
      <c r="C163" s="8" t="s">
        <v>790</v>
      </c>
      <c r="D163" s="8" t="s">
        <v>267</v>
      </c>
      <c r="E163" s="8" t="s">
        <v>317</v>
      </c>
      <c r="F163" s="8" t="s">
        <v>278</v>
      </c>
      <c r="G163" s="8" t="s">
        <v>90</v>
      </c>
      <c r="H163" s="8" t="s">
        <v>73</v>
      </c>
      <c r="I163" s="8" t="s">
        <v>73</v>
      </c>
      <c r="J163" s="8" t="s">
        <v>279</v>
      </c>
      <c r="K163" s="8">
        <v>0</v>
      </c>
      <c r="L163" s="8">
        <v>32</v>
      </c>
      <c r="M163" s="8">
        <v>32</v>
      </c>
      <c r="N163" s="9">
        <v>0</v>
      </c>
      <c r="O163" s="9">
        <v>0</v>
      </c>
      <c r="P163" s="9">
        <v>0</v>
      </c>
      <c r="Q163" s="9">
        <v>8</v>
      </c>
      <c r="R163" s="9">
        <v>0</v>
      </c>
      <c r="S163" s="9"/>
      <c r="T163" s="8"/>
      <c r="U163" s="8" t="s">
        <v>301</v>
      </c>
      <c r="V163" s="8" t="s">
        <v>288</v>
      </c>
      <c r="W163" s="10">
        <v>0</v>
      </c>
      <c r="X163" s="11" t="s">
        <v>791</v>
      </c>
      <c r="Y163" s="11" t="s">
        <v>792</v>
      </c>
      <c r="Z163" s="11" t="s">
        <v>793</v>
      </c>
    </row>
    <row r="164" ht="16.5" customHeight="1" spans="1:26">
      <c r="A164" s="8" t="s">
        <v>70</v>
      </c>
      <c r="B164" s="8" t="s">
        <v>51</v>
      </c>
      <c r="C164" s="8" t="s">
        <v>794</v>
      </c>
      <c r="D164" s="8" t="s">
        <v>607</v>
      </c>
      <c r="E164" s="8" t="s">
        <v>441</v>
      </c>
      <c r="F164" s="8" t="s">
        <v>338</v>
      </c>
      <c r="G164" s="8" t="s">
        <v>90</v>
      </c>
      <c r="H164" s="8" t="s">
        <v>73</v>
      </c>
      <c r="I164" s="8" t="s">
        <v>73</v>
      </c>
      <c r="J164" s="8" t="s">
        <v>279</v>
      </c>
      <c r="K164" s="8">
        <v>0</v>
      </c>
      <c r="L164" s="8">
        <v>12</v>
      </c>
      <c r="M164" s="8">
        <v>12</v>
      </c>
      <c r="N164" s="9">
        <v>0</v>
      </c>
      <c r="O164" s="9">
        <v>8</v>
      </c>
      <c r="P164" s="9">
        <v>0</v>
      </c>
      <c r="Q164" s="9">
        <v>0</v>
      </c>
      <c r="R164" s="9">
        <v>0</v>
      </c>
      <c r="S164" s="9"/>
      <c r="T164" s="8"/>
      <c r="U164" s="8" t="s">
        <v>301</v>
      </c>
      <c r="V164" s="8" t="s">
        <v>288</v>
      </c>
      <c r="W164" s="10">
        <v>20</v>
      </c>
      <c r="X164" s="11" t="s">
        <v>795</v>
      </c>
      <c r="Y164" s="11" t="s">
        <v>796</v>
      </c>
      <c r="Z164" s="11" t="s">
        <v>797</v>
      </c>
    </row>
    <row r="165" ht="33" customHeight="1" spans="1:26">
      <c r="A165" s="8" t="s">
        <v>70</v>
      </c>
      <c r="B165" s="8" t="s">
        <v>51</v>
      </c>
      <c r="C165" s="8" t="s">
        <v>798</v>
      </c>
      <c r="D165" s="8" t="s">
        <v>384</v>
      </c>
      <c r="E165" s="8" t="s">
        <v>384</v>
      </c>
      <c r="F165" s="8" t="s">
        <v>338</v>
      </c>
      <c r="G165" s="8" t="s">
        <v>90</v>
      </c>
      <c r="H165" s="8" t="s">
        <v>73</v>
      </c>
      <c r="I165" s="8" t="s">
        <v>73</v>
      </c>
      <c r="J165" s="8" t="s">
        <v>279</v>
      </c>
      <c r="K165" s="8">
        <v>0</v>
      </c>
      <c r="L165" s="8">
        <v>8</v>
      </c>
      <c r="M165" s="8">
        <v>8</v>
      </c>
      <c r="N165" s="9">
        <v>0</v>
      </c>
      <c r="O165" s="9">
        <v>0</v>
      </c>
      <c r="P165" s="9">
        <v>0</v>
      </c>
      <c r="Q165" s="9">
        <v>0</v>
      </c>
      <c r="R165" s="9">
        <v>0</v>
      </c>
      <c r="S165" s="9"/>
      <c r="T165" s="8"/>
      <c r="U165" s="8" t="s">
        <v>301</v>
      </c>
      <c r="V165" s="8" t="s">
        <v>288</v>
      </c>
      <c r="W165" s="10">
        <v>12</v>
      </c>
      <c r="X165" s="11" t="s">
        <v>799</v>
      </c>
      <c r="Y165" s="11" t="s">
        <v>800</v>
      </c>
      <c r="Z165" s="11" t="s">
        <v>744</v>
      </c>
    </row>
    <row r="166" ht="16.5" customHeight="1" spans="1:26">
      <c r="A166" s="8" t="s">
        <v>70</v>
      </c>
      <c r="B166" s="8" t="s">
        <v>51</v>
      </c>
      <c r="C166" s="8" t="s">
        <v>801</v>
      </c>
      <c r="D166" s="8" t="s">
        <v>285</v>
      </c>
      <c r="E166" s="8" t="s">
        <v>286</v>
      </c>
      <c r="F166" s="8" t="s">
        <v>287</v>
      </c>
      <c r="G166" s="8" t="s">
        <v>90</v>
      </c>
      <c r="H166" s="8" t="s">
        <v>73</v>
      </c>
      <c r="I166" s="8" t="s">
        <v>73</v>
      </c>
      <c r="J166" s="8" t="s">
        <v>279</v>
      </c>
      <c r="K166" s="8">
        <v>0</v>
      </c>
      <c r="L166" s="8">
        <v>32</v>
      </c>
      <c r="M166" s="8">
        <v>32</v>
      </c>
      <c r="N166" s="9">
        <v>0</v>
      </c>
      <c r="O166" s="9">
        <v>0</v>
      </c>
      <c r="P166" s="9">
        <v>0</v>
      </c>
      <c r="Q166" s="9">
        <v>0</v>
      </c>
      <c r="R166" s="9">
        <v>0</v>
      </c>
      <c r="S166" s="9"/>
      <c r="T166" s="8"/>
      <c r="U166" s="8" t="s">
        <v>301</v>
      </c>
      <c r="V166" s="8" t="s">
        <v>288</v>
      </c>
      <c r="W166" s="10">
        <v>0</v>
      </c>
      <c r="X166" s="11" t="s">
        <v>802</v>
      </c>
      <c r="Y166" s="11" t="s">
        <v>803</v>
      </c>
      <c r="Z166" s="11" t="s">
        <v>744</v>
      </c>
    </row>
    <row r="167" ht="33" customHeight="1" spans="1:26">
      <c r="A167" s="8" t="s">
        <v>70</v>
      </c>
      <c r="B167" s="8" t="s">
        <v>51</v>
      </c>
      <c r="C167" s="8" t="s">
        <v>804</v>
      </c>
      <c r="D167" s="8" t="s">
        <v>267</v>
      </c>
      <c r="E167" s="8" t="s">
        <v>317</v>
      </c>
      <c r="F167" s="8" t="s">
        <v>278</v>
      </c>
      <c r="G167" s="8" t="s">
        <v>90</v>
      </c>
      <c r="H167" s="8" t="s">
        <v>73</v>
      </c>
      <c r="I167" s="8" t="s">
        <v>73</v>
      </c>
      <c r="J167" s="8" t="s">
        <v>279</v>
      </c>
      <c r="K167" s="8">
        <v>0</v>
      </c>
      <c r="L167" s="8">
        <v>16</v>
      </c>
      <c r="M167" s="8">
        <v>16</v>
      </c>
      <c r="N167" s="9">
        <v>0</v>
      </c>
      <c r="O167" s="9">
        <v>8</v>
      </c>
      <c r="P167" s="9">
        <v>52</v>
      </c>
      <c r="Q167" s="9">
        <v>0</v>
      </c>
      <c r="R167" s="9">
        <v>0</v>
      </c>
      <c r="S167" s="9"/>
      <c r="T167" s="8"/>
      <c r="U167" s="8" t="s">
        <v>301</v>
      </c>
      <c r="V167" s="8" t="s">
        <v>288</v>
      </c>
      <c r="W167" s="10">
        <v>0</v>
      </c>
      <c r="X167" s="11" t="s">
        <v>805</v>
      </c>
      <c r="Y167" s="11" t="s">
        <v>806</v>
      </c>
      <c r="Z167" s="11" t="s">
        <v>744</v>
      </c>
    </row>
    <row r="168" ht="33" customHeight="1" spans="1:26">
      <c r="A168" s="8" t="s">
        <v>70</v>
      </c>
      <c r="B168" s="8" t="s">
        <v>51</v>
      </c>
      <c r="C168" s="8" t="s">
        <v>807</v>
      </c>
      <c r="D168" s="8" t="s">
        <v>267</v>
      </c>
      <c r="E168" s="8" t="s">
        <v>384</v>
      </c>
      <c r="F168" s="8" t="s">
        <v>278</v>
      </c>
      <c r="G168" s="8" t="s">
        <v>90</v>
      </c>
      <c r="H168" s="8" t="s">
        <v>73</v>
      </c>
      <c r="I168" s="8" t="s">
        <v>73</v>
      </c>
      <c r="J168" s="8" t="s">
        <v>279</v>
      </c>
      <c r="K168" s="8">
        <v>0</v>
      </c>
      <c r="L168" s="8">
        <v>8</v>
      </c>
      <c r="M168" s="8">
        <v>8</v>
      </c>
      <c r="N168" s="9">
        <v>0</v>
      </c>
      <c r="O168" s="9">
        <v>0</v>
      </c>
      <c r="P168" s="9">
        <v>0</v>
      </c>
      <c r="Q168" s="9">
        <v>0</v>
      </c>
      <c r="R168" s="9">
        <v>0</v>
      </c>
      <c r="S168" s="9"/>
      <c r="T168" s="8"/>
      <c r="U168" s="8" t="s">
        <v>301</v>
      </c>
      <c r="V168" s="8" t="s">
        <v>288</v>
      </c>
      <c r="W168" s="10">
        <v>12</v>
      </c>
      <c r="X168" s="11" t="s">
        <v>731</v>
      </c>
      <c r="Y168" s="11" t="s">
        <v>732</v>
      </c>
      <c r="Z168" s="11" t="s">
        <v>733</v>
      </c>
    </row>
    <row r="169" ht="33" customHeight="1" spans="1:26">
      <c r="A169" s="8" t="s">
        <v>70</v>
      </c>
      <c r="B169" s="8" t="s">
        <v>51</v>
      </c>
      <c r="C169" s="8" t="s">
        <v>808</v>
      </c>
      <c r="D169" s="8" t="s">
        <v>384</v>
      </c>
      <c r="E169" s="8" t="s">
        <v>384</v>
      </c>
      <c r="F169" s="8" t="s">
        <v>338</v>
      </c>
      <c r="G169" s="8" t="s">
        <v>90</v>
      </c>
      <c r="H169" s="8" t="s">
        <v>73</v>
      </c>
      <c r="I169" s="8" t="s">
        <v>73</v>
      </c>
      <c r="J169" s="8" t="s">
        <v>279</v>
      </c>
      <c r="K169" s="8">
        <v>0</v>
      </c>
      <c r="L169" s="8">
        <v>4</v>
      </c>
      <c r="M169" s="8">
        <v>4</v>
      </c>
      <c r="N169" s="9">
        <v>0</v>
      </c>
      <c r="O169" s="9">
        <v>0</v>
      </c>
      <c r="P169" s="9">
        <v>0</v>
      </c>
      <c r="Q169" s="9">
        <v>0</v>
      </c>
      <c r="R169" s="9">
        <v>0</v>
      </c>
      <c r="S169" s="9"/>
      <c r="T169" s="8"/>
      <c r="U169" s="8" t="s">
        <v>301</v>
      </c>
      <c r="V169" s="8" t="s">
        <v>288</v>
      </c>
      <c r="W169" s="10">
        <v>0</v>
      </c>
      <c r="X169" s="11" t="s">
        <v>809</v>
      </c>
      <c r="Y169" s="11" t="s">
        <v>810</v>
      </c>
      <c r="Z169" s="11" t="s">
        <v>811</v>
      </c>
    </row>
    <row r="170" ht="16.5" customHeight="1" spans="1:26">
      <c r="A170" s="8" t="s">
        <v>70</v>
      </c>
      <c r="B170" s="8" t="s">
        <v>51</v>
      </c>
      <c r="C170" s="8" t="s">
        <v>812</v>
      </c>
      <c r="D170" s="8" t="s">
        <v>267</v>
      </c>
      <c r="E170" s="8" t="s">
        <v>277</v>
      </c>
      <c r="F170" s="8" t="s">
        <v>278</v>
      </c>
      <c r="G170" s="8" t="s">
        <v>90</v>
      </c>
      <c r="H170" s="8" t="s">
        <v>73</v>
      </c>
      <c r="I170" s="8" t="s">
        <v>73</v>
      </c>
      <c r="J170" s="8" t="s">
        <v>279</v>
      </c>
      <c r="K170" s="8">
        <v>0</v>
      </c>
      <c r="L170" s="8">
        <v>4</v>
      </c>
      <c r="M170" s="8">
        <v>4</v>
      </c>
      <c r="N170" s="9">
        <v>0</v>
      </c>
      <c r="O170" s="9">
        <v>0</v>
      </c>
      <c r="P170" s="9">
        <v>0</v>
      </c>
      <c r="Q170" s="9">
        <v>0</v>
      </c>
      <c r="R170" s="9">
        <v>0</v>
      </c>
      <c r="S170" s="9"/>
      <c r="T170" s="8"/>
      <c r="U170" s="8" t="s">
        <v>301</v>
      </c>
      <c r="V170" s="8" t="s">
        <v>288</v>
      </c>
      <c r="W170" s="10">
        <v>12</v>
      </c>
      <c r="X170" s="11" t="s">
        <v>813</v>
      </c>
      <c r="Y170" s="11" t="s">
        <v>814</v>
      </c>
      <c r="Z170" s="11" t="s">
        <v>744</v>
      </c>
    </row>
    <row r="171" ht="33" customHeight="1" spans="1:26">
      <c r="A171" s="8" t="s">
        <v>70</v>
      </c>
      <c r="B171" s="8" t="s">
        <v>51</v>
      </c>
      <c r="C171" s="8" t="s">
        <v>815</v>
      </c>
      <c r="D171" s="8" t="s">
        <v>384</v>
      </c>
      <c r="E171" s="8" t="s">
        <v>384</v>
      </c>
      <c r="F171" s="8" t="s">
        <v>338</v>
      </c>
      <c r="G171" s="8" t="s">
        <v>90</v>
      </c>
      <c r="H171" s="8" t="s">
        <v>73</v>
      </c>
      <c r="I171" s="8" t="s">
        <v>73</v>
      </c>
      <c r="J171" s="8" t="s">
        <v>279</v>
      </c>
      <c r="K171" s="8">
        <v>0</v>
      </c>
      <c r="L171" s="8">
        <v>8</v>
      </c>
      <c r="M171" s="8">
        <v>8</v>
      </c>
      <c r="N171" s="9">
        <v>0</v>
      </c>
      <c r="O171" s="9">
        <v>0</v>
      </c>
      <c r="P171" s="9">
        <v>0</v>
      </c>
      <c r="Q171" s="9">
        <v>0</v>
      </c>
      <c r="R171" s="9">
        <v>0</v>
      </c>
      <c r="S171" s="9"/>
      <c r="T171" s="8"/>
      <c r="U171" s="8" t="s">
        <v>301</v>
      </c>
      <c r="V171" s="8" t="s">
        <v>288</v>
      </c>
      <c r="W171" s="10">
        <v>0</v>
      </c>
      <c r="X171" s="11" t="s">
        <v>799</v>
      </c>
      <c r="Y171" s="11" t="s">
        <v>800</v>
      </c>
      <c r="Z171" s="11" t="s">
        <v>744</v>
      </c>
    </row>
    <row r="172" ht="33" customHeight="1" spans="1:26">
      <c r="A172" s="8" t="s">
        <v>70</v>
      </c>
      <c r="B172" s="8" t="s">
        <v>51</v>
      </c>
      <c r="C172" s="8" t="s">
        <v>816</v>
      </c>
      <c r="D172" s="8" t="s">
        <v>267</v>
      </c>
      <c r="E172" s="8" t="s">
        <v>277</v>
      </c>
      <c r="F172" s="8" t="s">
        <v>278</v>
      </c>
      <c r="G172" s="8" t="s">
        <v>73</v>
      </c>
      <c r="H172" s="8" t="s">
        <v>73</v>
      </c>
      <c r="I172" s="8" t="s">
        <v>73</v>
      </c>
      <c r="J172" s="8" t="s">
        <v>279</v>
      </c>
      <c r="K172" s="8">
        <v>0</v>
      </c>
      <c r="L172" s="8">
        <v>4</v>
      </c>
      <c r="M172" s="8">
        <v>4</v>
      </c>
      <c r="N172" s="9">
        <v>24</v>
      </c>
      <c r="O172" s="9">
        <v>0</v>
      </c>
      <c r="P172" s="9">
        <v>0</v>
      </c>
      <c r="Q172" s="9">
        <v>12</v>
      </c>
      <c r="R172" s="9">
        <v>0</v>
      </c>
      <c r="S172" s="9"/>
      <c r="T172" s="8"/>
      <c r="U172" s="8" t="s">
        <v>301</v>
      </c>
      <c r="V172" s="8" t="s">
        <v>288</v>
      </c>
      <c r="W172" s="10">
        <v>12</v>
      </c>
      <c r="X172" s="11" t="s">
        <v>817</v>
      </c>
      <c r="Y172" s="11" t="s">
        <v>818</v>
      </c>
      <c r="Z172" s="11" t="s">
        <v>744</v>
      </c>
    </row>
    <row r="173" ht="33" customHeight="1" spans="1:26">
      <c r="A173" s="15" t="s">
        <v>107</v>
      </c>
      <c r="B173" s="15" t="s">
        <v>99</v>
      </c>
      <c r="C173" s="15" t="s">
        <v>819</v>
      </c>
      <c r="D173" s="15" t="s">
        <v>607</v>
      </c>
      <c r="E173" s="15" t="s">
        <v>441</v>
      </c>
      <c r="F173" s="15" t="s">
        <v>338</v>
      </c>
      <c r="G173" s="15" t="s">
        <v>90</v>
      </c>
      <c r="H173" s="15" t="s">
        <v>73</v>
      </c>
      <c r="I173" s="15" t="s">
        <v>73</v>
      </c>
      <c r="J173" s="15" t="s">
        <v>279</v>
      </c>
      <c r="K173" s="15">
        <v>0</v>
      </c>
      <c r="L173" s="15">
        <v>8</v>
      </c>
      <c r="M173" s="15">
        <v>8</v>
      </c>
      <c r="N173" s="16">
        <v>0</v>
      </c>
      <c r="O173" s="16">
        <v>0</v>
      </c>
      <c r="P173" s="16">
        <v>0</v>
      </c>
      <c r="Q173" s="16">
        <v>0</v>
      </c>
      <c r="R173" s="16">
        <v>8</v>
      </c>
      <c r="S173" s="16"/>
      <c r="T173" s="15"/>
      <c r="U173" s="15" t="s">
        <v>288</v>
      </c>
      <c r="V173" s="15" t="s">
        <v>288</v>
      </c>
      <c r="W173" s="16">
        <v>8</v>
      </c>
      <c r="X173" s="17" t="s">
        <v>820</v>
      </c>
      <c r="Y173" s="17" t="s">
        <v>821</v>
      </c>
      <c r="Z173" s="17" t="s">
        <v>822</v>
      </c>
    </row>
    <row r="174" ht="16.5" customHeight="1" spans="1:26">
      <c r="A174" s="15" t="s">
        <v>107</v>
      </c>
      <c r="B174" s="15" t="s">
        <v>99</v>
      </c>
      <c r="C174" s="15" t="s">
        <v>823</v>
      </c>
      <c r="D174" s="15" t="s">
        <v>607</v>
      </c>
      <c r="E174" s="15" t="s">
        <v>441</v>
      </c>
      <c r="F174" s="15" t="s">
        <v>338</v>
      </c>
      <c r="G174" s="15" t="s">
        <v>90</v>
      </c>
      <c r="H174" s="15" t="s">
        <v>73</v>
      </c>
      <c r="I174" s="15" t="s">
        <v>73</v>
      </c>
      <c r="J174" s="15" t="s">
        <v>279</v>
      </c>
      <c r="K174" s="15">
        <v>0</v>
      </c>
      <c r="L174" s="15">
        <v>8</v>
      </c>
      <c r="M174" s="15">
        <v>8</v>
      </c>
      <c r="N174" s="16">
        <v>0</v>
      </c>
      <c r="O174" s="16">
        <v>0</v>
      </c>
      <c r="P174" s="16">
        <v>0</v>
      </c>
      <c r="Q174" s="16">
        <v>0</v>
      </c>
      <c r="R174" s="16">
        <v>4</v>
      </c>
      <c r="S174" s="16"/>
      <c r="T174" s="15"/>
      <c r="U174" s="15" t="s">
        <v>288</v>
      </c>
      <c r="V174" s="15" t="s">
        <v>288</v>
      </c>
      <c r="W174" s="16">
        <v>0</v>
      </c>
      <c r="X174" s="17" t="s">
        <v>820</v>
      </c>
      <c r="Y174" s="17" t="s">
        <v>821</v>
      </c>
      <c r="Z174" s="17" t="s">
        <v>822</v>
      </c>
    </row>
    <row r="175" ht="16.5" customHeight="1" spans="1:26">
      <c r="A175" s="15" t="s">
        <v>107</v>
      </c>
      <c r="B175" s="15" t="s">
        <v>99</v>
      </c>
      <c r="C175" s="15" t="s">
        <v>824</v>
      </c>
      <c r="D175" s="15" t="s">
        <v>607</v>
      </c>
      <c r="E175" s="15" t="s">
        <v>441</v>
      </c>
      <c r="F175" s="15" t="s">
        <v>338</v>
      </c>
      <c r="G175" s="15" t="s">
        <v>90</v>
      </c>
      <c r="H175" s="15" t="s">
        <v>73</v>
      </c>
      <c r="I175" s="15" t="s">
        <v>73</v>
      </c>
      <c r="J175" s="15" t="s">
        <v>279</v>
      </c>
      <c r="K175" s="15">
        <v>0</v>
      </c>
      <c r="L175" s="15">
        <v>8</v>
      </c>
      <c r="M175" s="15">
        <v>8</v>
      </c>
      <c r="N175" s="16">
        <v>0</v>
      </c>
      <c r="O175" s="16">
        <v>0</v>
      </c>
      <c r="P175" s="16">
        <v>0</v>
      </c>
      <c r="Q175" s="16">
        <v>0</v>
      </c>
      <c r="R175" s="16">
        <v>0</v>
      </c>
      <c r="S175" s="16"/>
      <c r="T175" s="15"/>
      <c r="U175" s="15" t="s">
        <v>301</v>
      </c>
      <c r="V175" s="15" t="s">
        <v>288</v>
      </c>
      <c r="W175" s="16">
        <v>0</v>
      </c>
      <c r="X175" s="17" t="s">
        <v>820</v>
      </c>
      <c r="Y175" s="17" t="s">
        <v>821</v>
      </c>
      <c r="Z175" s="17" t="s">
        <v>825</v>
      </c>
    </row>
    <row r="176" ht="16.5" customHeight="1" spans="1:26">
      <c r="A176" s="15" t="s">
        <v>107</v>
      </c>
      <c r="B176" s="15" t="s">
        <v>99</v>
      </c>
      <c r="C176" s="15" t="s">
        <v>826</v>
      </c>
      <c r="D176" s="15" t="s">
        <v>607</v>
      </c>
      <c r="E176" s="15" t="s">
        <v>441</v>
      </c>
      <c r="F176" s="15" t="s">
        <v>338</v>
      </c>
      <c r="G176" s="15" t="s">
        <v>90</v>
      </c>
      <c r="H176" s="15" t="s">
        <v>73</v>
      </c>
      <c r="I176" s="15" t="s">
        <v>73</v>
      </c>
      <c r="J176" s="15" t="s">
        <v>279</v>
      </c>
      <c r="K176" s="15">
        <v>0</v>
      </c>
      <c r="L176" s="15">
        <v>8</v>
      </c>
      <c r="M176" s="15">
        <v>8</v>
      </c>
      <c r="N176" s="16">
        <v>0</v>
      </c>
      <c r="O176" s="16">
        <v>0</v>
      </c>
      <c r="P176" s="16">
        <v>0</v>
      </c>
      <c r="Q176" s="16">
        <v>0</v>
      </c>
      <c r="R176" s="16">
        <v>0</v>
      </c>
      <c r="S176" s="16"/>
      <c r="T176" s="15"/>
      <c r="U176" s="15" t="s">
        <v>301</v>
      </c>
      <c r="V176" s="15" t="s">
        <v>288</v>
      </c>
      <c r="W176" s="16">
        <v>0</v>
      </c>
      <c r="X176" s="17" t="s">
        <v>820</v>
      </c>
      <c r="Y176" s="17" t="s">
        <v>821</v>
      </c>
      <c r="Z176" s="17" t="s">
        <v>822</v>
      </c>
    </row>
    <row r="177" ht="244" customHeight="1" spans="1:26">
      <c r="A177" s="15" t="s">
        <v>107</v>
      </c>
      <c r="B177" s="15" t="s">
        <v>99</v>
      </c>
      <c r="C177" s="15" t="s">
        <v>827</v>
      </c>
      <c r="D177" s="15" t="s">
        <v>607</v>
      </c>
      <c r="E177" s="15" t="s">
        <v>441</v>
      </c>
      <c r="F177" s="15" t="s">
        <v>338</v>
      </c>
      <c r="G177" s="15" t="s">
        <v>90</v>
      </c>
      <c r="H177" s="15" t="s">
        <v>73</v>
      </c>
      <c r="I177" s="15" t="s">
        <v>73</v>
      </c>
      <c r="J177" s="15" t="s">
        <v>279</v>
      </c>
      <c r="K177" s="15">
        <v>0</v>
      </c>
      <c r="L177" s="15">
        <v>8</v>
      </c>
      <c r="M177" s="15">
        <v>8</v>
      </c>
      <c r="N177" s="16">
        <v>0</v>
      </c>
      <c r="O177" s="16">
        <v>0</v>
      </c>
      <c r="P177" s="16">
        <v>0</v>
      </c>
      <c r="Q177" s="16">
        <v>0</v>
      </c>
      <c r="R177" s="16">
        <v>0</v>
      </c>
      <c r="S177" s="16"/>
      <c r="T177" s="15"/>
      <c r="U177" s="15" t="s">
        <v>301</v>
      </c>
      <c r="V177" s="15" t="s">
        <v>288</v>
      </c>
      <c r="W177" s="16">
        <v>0</v>
      </c>
      <c r="X177" s="17" t="s">
        <v>820</v>
      </c>
      <c r="Y177" s="17" t="s">
        <v>821</v>
      </c>
      <c r="Z177" s="17" t="s">
        <v>822</v>
      </c>
    </row>
    <row r="178" ht="213" customHeight="1" spans="1:26">
      <c r="A178" s="15" t="s">
        <v>107</v>
      </c>
      <c r="B178" s="15" t="s">
        <v>99</v>
      </c>
      <c r="C178" s="15" t="s">
        <v>828</v>
      </c>
      <c r="D178" s="15" t="s">
        <v>607</v>
      </c>
      <c r="E178" s="15" t="s">
        <v>441</v>
      </c>
      <c r="F178" s="15" t="s">
        <v>338</v>
      </c>
      <c r="G178" s="15" t="s">
        <v>90</v>
      </c>
      <c r="H178" s="15" t="s">
        <v>73</v>
      </c>
      <c r="I178" s="15" t="s">
        <v>73</v>
      </c>
      <c r="J178" s="15" t="s">
        <v>279</v>
      </c>
      <c r="K178" s="15">
        <v>0</v>
      </c>
      <c r="L178" s="15">
        <v>8</v>
      </c>
      <c r="M178" s="15">
        <v>8</v>
      </c>
      <c r="N178" s="16">
        <v>0</v>
      </c>
      <c r="O178" s="16">
        <v>0</v>
      </c>
      <c r="P178" s="16">
        <v>0</v>
      </c>
      <c r="Q178" s="16">
        <v>0</v>
      </c>
      <c r="R178" s="16">
        <v>0</v>
      </c>
      <c r="S178" s="16"/>
      <c r="T178" s="15"/>
      <c r="U178" s="15" t="s">
        <v>301</v>
      </c>
      <c r="V178" s="15" t="s">
        <v>288</v>
      </c>
      <c r="W178" s="16">
        <v>0</v>
      </c>
      <c r="X178" s="17" t="s">
        <v>820</v>
      </c>
      <c r="Y178" s="17" t="s">
        <v>821</v>
      </c>
      <c r="Z178" s="17" t="s">
        <v>822</v>
      </c>
    </row>
    <row r="179" ht="168" customHeight="1" spans="1:26">
      <c r="A179" s="15" t="s">
        <v>107</v>
      </c>
      <c r="B179" s="15" t="s">
        <v>99</v>
      </c>
      <c r="C179" s="15" t="s">
        <v>829</v>
      </c>
      <c r="D179" s="15" t="s">
        <v>607</v>
      </c>
      <c r="E179" s="15" t="s">
        <v>441</v>
      </c>
      <c r="F179" s="15" t="s">
        <v>338</v>
      </c>
      <c r="G179" s="15" t="s">
        <v>90</v>
      </c>
      <c r="H179" s="15" t="s">
        <v>73</v>
      </c>
      <c r="I179" s="15" t="s">
        <v>73</v>
      </c>
      <c r="J179" s="15" t="s">
        <v>279</v>
      </c>
      <c r="K179" s="15">
        <v>0</v>
      </c>
      <c r="L179" s="15">
        <v>8</v>
      </c>
      <c r="M179" s="15">
        <v>8</v>
      </c>
      <c r="N179" s="16">
        <v>0</v>
      </c>
      <c r="O179" s="16">
        <v>0</v>
      </c>
      <c r="P179" s="16">
        <v>0</v>
      </c>
      <c r="Q179" s="16">
        <v>0</v>
      </c>
      <c r="R179" s="16">
        <v>0</v>
      </c>
      <c r="S179" s="16"/>
      <c r="T179" s="15"/>
      <c r="U179" s="15" t="s">
        <v>301</v>
      </c>
      <c r="V179" s="15" t="s">
        <v>288</v>
      </c>
      <c r="W179" s="16">
        <v>0</v>
      </c>
      <c r="X179" s="17" t="s">
        <v>820</v>
      </c>
      <c r="Y179" s="17" t="s">
        <v>821</v>
      </c>
      <c r="Z179" s="17" t="s">
        <v>822</v>
      </c>
    </row>
    <row r="180" ht="168" customHeight="1" spans="1:26">
      <c r="A180" s="8" t="s">
        <v>107</v>
      </c>
      <c r="B180" s="8" t="s">
        <v>99</v>
      </c>
      <c r="C180" s="8" t="s">
        <v>830</v>
      </c>
      <c r="D180" s="8" t="s">
        <v>267</v>
      </c>
      <c r="E180" s="8" t="s">
        <v>268</v>
      </c>
      <c r="F180" s="8" t="s">
        <v>269</v>
      </c>
      <c r="G180" s="8" t="s">
        <v>90</v>
      </c>
      <c r="H180" s="8" t="s">
        <v>90</v>
      </c>
      <c r="I180" s="8" t="s">
        <v>90</v>
      </c>
      <c r="J180" s="8" t="s">
        <v>270</v>
      </c>
      <c r="K180" s="8">
        <v>4</v>
      </c>
      <c r="L180" s="8">
        <v>4</v>
      </c>
      <c r="M180" s="8">
        <v>8</v>
      </c>
      <c r="N180" s="9">
        <v>152</v>
      </c>
      <c r="O180" s="9">
        <v>84</v>
      </c>
      <c r="P180" s="9">
        <v>76</v>
      </c>
      <c r="Q180" s="9">
        <v>92</v>
      </c>
      <c r="R180" s="9">
        <v>144</v>
      </c>
      <c r="S180" s="9"/>
      <c r="T180" s="8"/>
      <c r="U180" s="8" t="s">
        <v>272</v>
      </c>
      <c r="V180" s="8" t="s">
        <v>454</v>
      </c>
      <c r="W180" s="10">
        <v>200</v>
      </c>
      <c r="X180" s="11" t="s">
        <v>831</v>
      </c>
      <c r="Y180" s="11" t="s">
        <v>832</v>
      </c>
      <c r="Z180" s="11" t="s">
        <v>833</v>
      </c>
    </row>
    <row r="181" ht="213" customHeight="1" spans="1:26">
      <c r="A181" s="8" t="s">
        <v>107</v>
      </c>
      <c r="B181" s="8" t="s">
        <v>99</v>
      </c>
      <c r="C181" s="8" t="s">
        <v>834</v>
      </c>
      <c r="D181" s="8" t="s">
        <v>384</v>
      </c>
      <c r="E181" s="8" t="s">
        <v>277</v>
      </c>
      <c r="F181" s="8" t="s">
        <v>338</v>
      </c>
      <c r="G181" s="8" t="s">
        <v>90</v>
      </c>
      <c r="H181" s="8" t="s">
        <v>90</v>
      </c>
      <c r="I181" s="8" t="s">
        <v>90</v>
      </c>
      <c r="J181" s="8" t="s">
        <v>279</v>
      </c>
      <c r="K181" s="8">
        <v>0</v>
      </c>
      <c r="L181" s="8">
        <v>8</v>
      </c>
      <c r="M181" s="8">
        <v>8</v>
      </c>
      <c r="N181" s="9">
        <v>32</v>
      </c>
      <c r="O181" s="9">
        <v>12</v>
      </c>
      <c r="P181" s="9">
        <v>0</v>
      </c>
      <c r="Q181" s="9">
        <v>52</v>
      </c>
      <c r="R181" s="9">
        <v>72</v>
      </c>
      <c r="S181" s="9"/>
      <c r="T181" s="8"/>
      <c r="U181" s="8" t="s">
        <v>271</v>
      </c>
      <c r="V181" s="8" t="s">
        <v>271</v>
      </c>
      <c r="W181" s="10">
        <v>60</v>
      </c>
      <c r="X181" s="11" t="s">
        <v>831</v>
      </c>
      <c r="Y181" s="11" t="s">
        <v>832</v>
      </c>
      <c r="Z181" s="11" t="s">
        <v>835</v>
      </c>
    </row>
    <row r="182" ht="213" customHeight="1" spans="1:26">
      <c r="A182" s="8" t="s">
        <v>107</v>
      </c>
      <c r="B182" s="8" t="s">
        <v>99</v>
      </c>
      <c r="C182" s="8" t="s">
        <v>836</v>
      </c>
      <c r="D182" s="8" t="s">
        <v>267</v>
      </c>
      <c r="E182" s="8" t="s">
        <v>268</v>
      </c>
      <c r="F182" s="8" t="s">
        <v>269</v>
      </c>
      <c r="G182" s="8" t="s">
        <v>90</v>
      </c>
      <c r="H182" s="8" t="s">
        <v>90</v>
      </c>
      <c r="I182" s="8" t="s">
        <v>90</v>
      </c>
      <c r="J182" s="8" t="s">
        <v>270</v>
      </c>
      <c r="K182" s="8">
        <v>4</v>
      </c>
      <c r="L182" s="8">
        <v>0</v>
      </c>
      <c r="M182" s="8">
        <v>4</v>
      </c>
      <c r="N182" s="9">
        <v>0</v>
      </c>
      <c r="O182" s="9">
        <v>8</v>
      </c>
      <c r="P182" s="9">
        <v>4</v>
      </c>
      <c r="Q182" s="9">
        <v>12</v>
      </c>
      <c r="R182" s="9">
        <v>68</v>
      </c>
      <c r="S182" s="9"/>
      <c r="T182" s="8"/>
      <c r="U182" s="8" t="s">
        <v>280</v>
      </c>
      <c r="V182" s="8" t="s">
        <v>271</v>
      </c>
      <c r="W182" s="10">
        <v>80</v>
      </c>
      <c r="X182" s="11" t="s">
        <v>837</v>
      </c>
      <c r="Y182" s="11" t="s">
        <v>838</v>
      </c>
      <c r="Z182" s="11" t="s">
        <v>839</v>
      </c>
    </row>
    <row r="183" ht="168" customHeight="1" spans="1:26">
      <c r="A183" s="8" t="s">
        <v>107</v>
      </c>
      <c r="B183" s="8" t="s">
        <v>99</v>
      </c>
      <c r="C183" s="8" t="s">
        <v>840</v>
      </c>
      <c r="D183" s="8" t="s">
        <v>267</v>
      </c>
      <c r="E183" s="8" t="s">
        <v>268</v>
      </c>
      <c r="F183" s="8" t="s">
        <v>269</v>
      </c>
      <c r="G183" s="8" t="s">
        <v>90</v>
      </c>
      <c r="H183" s="8" t="s">
        <v>90</v>
      </c>
      <c r="I183" s="8" t="s">
        <v>90</v>
      </c>
      <c r="J183" s="8" t="s">
        <v>270</v>
      </c>
      <c r="K183" s="8">
        <v>4</v>
      </c>
      <c r="L183" s="8">
        <v>0</v>
      </c>
      <c r="M183" s="8">
        <v>4</v>
      </c>
      <c r="N183" s="9">
        <v>8</v>
      </c>
      <c r="O183" s="9">
        <v>4</v>
      </c>
      <c r="P183" s="9">
        <v>16</v>
      </c>
      <c r="Q183" s="9">
        <v>12</v>
      </c>
      <c r="R183" s="9">
        <v>68</v>
      </c>
      <c r="S183" s="9"/>
      <c r="T183" s="8"/>
      <c r="U183" s="8" t="s">
        <v>280</v>
      </c>
      <c r="V183" s="8" t="s">
        <v>271</v>
      </c>
      <c r="W183" s="10">
        <v>80</v>
      </c>
      <c r="X183" s="11" t="s">
        <v>837</v>
      </c>
      <c r="Y183" s="11" t="s">
        <v>838</v>
      </c>
      <c r="Z183" s="11" t="s">
        <v>841</v>
      </c>
    </row>
    <row r="184" ht="168" customHeight="1" spans="1:26">
      <c r="A184" s="8" t="s">
        <v>107</v>
      </c>
      <c r="B184" s="8" t="s">
        <v>99</v>
      </c>
      <c r="C184" s="8" t="s">
        <v>842</v>
      </c>
      <c r="D184" s="8" t="s">
        <v>267</v>
      </c>
      <c r="E184" s="8" t="s">
        <v>268</v>
      </c>
      <c r="F184" s="8" t="s">
        <v>269</v>
      </c>
      <c r="G184" s="8" t="s">
        <v>90</v>
      </c>
      <c r="H184" s="8" t="s">
        <v>90</v>
      </c>
      <c r="I184" s="8" t="s">
        <v>90</v>
      </c>
      <c r="J184" s="8" t="s">
        <v>270</v>
      </c>
      <c r="K184" s="8">
        <v>4</v>
      </c>
      <c r="L184" s="8">
        <v>0</v>
      </c>
      <c r="M184" s="8">
        <v>4</v>
      </c>
      <c r="N184" s="9">
        <v>0</v>
      </c>
      <c r="O184" s="9">
        <v>16</v>
      </c>
      <c r="P184" s="9">
        <v>16</v>
      </c>
      <c r="Q184" s="9">
        <v>12</v>
      </c>
      <c r="R184" s="9">
        <v>52</v>
      </c>
      <c r="S184" s="9"/>
      <c r="T184" s="8"/>
      <c r="U184" s="8" t="s">
        <v>280</v>
      </c>
      <c r="V184" s="8" t="s">
        <v>271</v>
      </c>
      <c r="W184" s="10">
        <v>80</v>
      </c>
      <c r="X184" s="11" t="s">
        <v>837</v>
      </c>
      <c r="Y184" s="11" t="s">
        <v>838</v>
      </c>
      <c r="Z184" s="11" t="s">
        <v>841</v>
      </c>
    </row>
    <row r="185" ht="244" customHeight="1" spans="1:26">
      <c r="A185" s="8" t="s">
        <v>107</v>
      </c>
      <c r="B185" s="8" t="s">
        <v>99</v>
      </c>
      <c r="C185" s="8" t="s">
        <v>843</v>
      </c>
      <c r="D185" s="8" t="s">
        <v>384</v>
      </c>
      <c r="E185" s="8" t="s">
        <v>384</v>
      </c>
      <c r="F185" s="8" t="s">
        <v>338</v>
      </c>
      <c r="G185" s="8" t="s">
        <v>73</v>
      </c>
      <c r="H185" s="8" t="s">
        <v>73</v>
      </c>
      <c r="I185" s="8" t="s">
        <v>90</v>
      </c>
      <c r="J185" s="8" t="s">
        <v>279</v>
      </c>
      <c r="K185" s="8">
        <v>0</v>
      </c>
      <c r="L185" s="8">
        <v>8</v>
      </c>
      <c r="M185" s="8">
        <v>8</v>
      </c>
      <c r="N185" s="9">
        <v>32</v>
      </c>
      <c r="O185" s="9">
        <v>0</v>
      </c>
      <c r="P185" s="9">
        <v>12</v>
      </c>
      <c r="Q185" s="9">
        <v>8</v>
      </c>
      <c r="R185" s="9">
        <v>12</v>
      </c>
      <c r="S185" s="9"/>
      <c r="T185" s="8"/>
      <c r="U185" s="8" t="s">
        <v>288</v>
      </c>
      <c r="V185" s="8" t="s">
        <v>288</v>
      </c>
      <c r="W185" s="10">
        <v>8</v>
      </c>
      <c r="X185" s="11" t="s">
        <v>844</v>
      </c>
      <c r="Y185" s="11" t="s">
        <v>845</v>
      </c>
      <c r="Z185" s="11" t="s">
        <v>846</v>
      </c>
    </row>
    <row r="186" ht="168" customHeight="1" spans="1:26">
      <c r="A186" s="8" t="s">
        <v>107</v>
      </c>
      <c r="B186" s="8" t="s">
        <v>99</v>
      </c>
      <c r="C186" s="8" t="s">
        <v>847</v>
      </c>
      <c r="D186" s="8" t="s">
        <v>267</v>
      </c>
      <c r="E186" s="8" t="s">
        <v>317</v>
      </c>
      <c r="F186" s="8" t="s">
        <v>278</v>
      </c>
      <c r="G186" s="8" t="s">
        <v>90</v>
      </c>
      <c r="H186" s="8" t="s">
        <v>90</v>
      </c>
      <c r="I186" s="8" t="s">
        <v>90</v>
      </c>
      <c r="J186" s="8" t="s">
        <v>279</v>
      </c>
      <c r="K186" s="8">
        <v>0</v>
      </c>
      <c r="L186" s="8">
        <v>8</v>
      </c>
      <c r="M186" s="8">
        <v>8</v>
      </c>
      <c r="N186" s="9">
        <v>52</v>
      </c>
      <c r="O186" s="9">
        <v>16</v>
      </c>
      <c r="P186" s="9">
        <v>8</v>
      </c>
      <c r="Q186" s="9">
        <v>8</v>
      </c>
      <c r="R186" s="9">
        <v>8</v>
      </c>
      <c r="S186" s="9"/>
      <c r="T186" s="8"/>
      <c r="U186" s="8" t="s">
        <v>288</v>
      </c>
      <c r="V186" s="8" t="s">
        <v>280</v>
      </c>
      <c r="W186" s="10">
        <v>40</v>
      </c>
      <c r="X186" s="11" t="s">
        <v>848</v>
      </c>
      <c r="Y186" s="11" t="s">
        <v>849</v>
      </c>
      <c r="Z186" s="11" t="s">
        <v>846</v>
      </c>
    </row>
    <row r="187" ht="168" customHeight="1" spans="1:26">
      <c r="A187" s="8" t="s">
        <v>107</v>
      </c>
      <c r="B187" s="8" t="s">
        <v>99</v>
      </c>
      <c r="C187" s="8" t="s">
        <v>850</v>
      </c>
      <c r="D187" s="8" t="s">
        <v>384</v>
      </c>
      <c r="E187" s="8" t="s">
        <v>277</v>
      </c>
      <c r="F187" s="8" t="s">
        <v>338</v>
      </c>
      <c r="G187" s="8" t="s">
        <v>73</v>
      </c>
      <c r="H187" s="8" t="s">
        <v>73</v>
      </c>
      <c r="I187" s="8" t="s">
        <v>90</v>
      </c>
      <c r="J187" s="8" t="s">
        <v>279</v>
      </c>
      <c r="K187" s="8">
        <v>0</v>
      </c>
      <c r="L187" s="8">
        <v>8</v>
      </c>
      <c r="M187" s="8">
        <v>8</v>
      </c>
      <c r="N187" s="9">
        <v>4</v>
      </c>
      <c r="O187" s="9">
        <v>0</v>
      </c>
      <c r="P187" s="9">
        <v>0</v>
      </c>
      <c r="Q187" s="9">
        <v>0</v>
      </c>
      <c r="R187" s="9">
        <v>8</v>
      </c>
      <c r="S187" s="9"/>
      <c r="T187" s="8"/>
      <c r="U187" s="8" t="s">
        <v>288</v>
      </c>
      <c r="V187" s="8" t="s">
        <v>288</v>
      </c>
      <c r="W187" s="10">
        <v>4</v>
      </c>
      <c r="X187" s="11" t="s">
        <v>844</v>
      </c>
      <c r="Y187" s="11" t="s">
        <v>845</v>
      </c>
      <c r="Z187" s="11" t="s">
        <v>846</v>
      </c>
    </row>
    <row r="188" ht="244" customHeight="1" spans="1:26">
      <c r="A188" s="8" t="s">
        <v>107</v>
      </c>
      <c r="B188" s="8" t="s">
        <v>99</v>
      </c>
      <c r="C188" s="8" t="s">
        <v>851</v>
      </c>
      <c r="D188" s="8" t="s">
        <v>267</v>
      </c>
      <c r="E188" s="8" t="s">
        <v>317</v>
      </c>
      <c r="F188" s="8" t="s">
        <v>278</v>
      </c>
      <c r="G188" s="8" t="s">
        <v>73</v>
      </c>
      <c r="H188" s="8" t="s">
        <v>73</v>
      </c>
      <c r="I188" s="8" t="s">
        <v>90</v>
      </c>
      <c r="J188" s="8" t="s">
        <v>279</v>
      </c>
      <c r="K188" s="8">
        <v>0</v>
      </c>
      <c r="L188" s="8">
        <v>8</v>
      </c>
      <c r="M188" s="8">
        <v>8</v>
      </c>
      <c r="N188" s="9">
        <v>0</v>
      </c>
      <c r="O188" s="9">
        <v>0</v>
      </c>
      <c r="P188" s="9">
        <v>0</v>
      </c>
      <c r="Q188" s="9">
        <v>16</v>
      </c>
      <c r="R188" s="9">
        <v>8</v>
      </c>
      <c r="S188" s="9"/>
      <c r="T188" s="8"/>
      <c r="U188" s="8" t="s">
        <v>288</v>
      </c>
      <c r="V188" s="8" t="s">
        <v>288</v>
      </c>
      <c r="W188" s="10">
        <v>4</v>
      </c>
      <c r="X188" s="11" t="s">
        <v>844</v>
      </c>
      <c r="Y188" s="11" t="s">
        <v>845</v>
      </c>
      <c r="Z188" s="11" t="s">
        <v>852</v>
      </c>
    </row>
    <row r="189" ht="213" customHeight="1" spans="1:26">
      <c r="A189" s="8" t="s">
        <v>107</v>
      </c>
      <c r="B189" s="8" t="s">
        <v>99</v>
      </c>
      <c r="C189" s="8" t="s">
        <v>853</v>
      </c>
      <c r="D189" s="8" t="s">
        <v>384</v>
      </c>
      <c r="E189" s="8" t="s">
        <v>286</v>
      </c>
      <c r="F189" s="8" t="s">
        <v>338</v>
      </c>
      <c r="G189" s="8" t="s">
        <v>90</v>
      </c>
      <c r="H189" s="8" t="s">
        <v>90</v>
      </c>
      <c r="I189" s="8" t="s">
        <v>90</v>
      </c>
      <c r="J189" s="8" t="s">
        <v>293</v>
      </c>
      <c r="K189" s="8">
        <v>4</v>
      </c>
      <c r="L189" s="8">
        <v>4</v>
      </c>
      <c r="M189" s="8">
        <v>8</v>
      </c>
      <c r="N189" s="9">
        <v>24</v>
      </c>
      <c r="O189" s="9">
        <v>16</v>
      </c>
      <c r="P189" s="9">
        <v>40</v>
      </c>
      <c r="Q189" s="9">
        <v>4</v>
      </c>
      <c r="R189" s="9">
        <v>4</v>
      </c>
      <c r="S189" s="9"/>
      <c r="T189" s="8"/>
      <c r="U189" s="8" t="s">
        <v>288</v>
      </c>
      <c r="V189" s="8" t="s">
        <v>288</v>
      </c>
      <c r="W189" s="10">
        <v>40</v>
      </c>
      <c r="X189" s="11" t="s">
        <v>854</v>
      </c>
      <c r="Y189" s="11" t="s">
        <v>845</v>
      </c>
      <c r="Z189" s="11" t="s">
        <v>855</v>
      </c>
    </row>
    <row r="190" ht="213" customHeight="1" spans="1:26">
      <c r="A190" s="8" t="s">
        <v>107</v>
      </c>
      <c r="B190" s="8" t="s">
        <v>99</v>
      </c>
      <c r="C190" s="8" t="s">
        <v>856</v>
      </c>
      <c r="D190" s="8" t="s">
        <v>384</v>
      </c>
      <c r="E190" s="8" t="s">
        <v>286</v>
      </c>
      <c r="F190" s="8" t="s">
        <v>338</v>
      </c>
      <c r="G190" s="8" t="s">
        <v>90</v>
      </c>
      <c r="H190" s="8" t="s">
        <v>90</v>
      </c>
      <c r="I190" s="8" t="s">
        <v>90</v>
      </c>
      <c r="J190" s="8" t="s">
        <v>293</v>
      </c>
      <c r="K190" s="8">
        <v>8</v>
      </c>
      <c r="L190" s="8">
        <v>0</v>
      </c>
      <c r="M190" s="8">
        <v>8</v>
      </c>
      <c r="N190" s="9">
        <v>8</v>
      </c>
      <c r="O190" s="9">
        <v>0</v>
      </c>
      <c r="P190" s="9">
        <v>8</v>
      </c>
      <c r="Q190" s="9">
        <v>28</v>
      </c>
      <c r="R190" s="9">
        <v>4</v>
      </c>
      <c r="S190" s="9"/>
      <c r="T190" s="8"/>
      <c r="U190" s="8" t="s">
        <v>288</v>
      </c>
      <c r="V190" s="8" t="s">
        <v>288</v>
      </c>
      <c r="W190" s="10">
        <v>40</v>
      </c>
      <c r="X190" s="11" t="s">
        <v>854</v>
      </c>
      <c r="Y190" s="11" t="s">
        <v>845</v>
      </c>
      <c r="Z190" s="11" t="s">
        <v>852</v>
      </c>
    </row>
    <row r="191" ht="213" customHeight="1" spans="1:26">
      <c r="A191" s="8" t="s">
        <v>107</v>
      </c>
      <c r="B191" s="8" t="s">
        <v>99</v>
      </c>
      <c r="C191" s="8" t="s">
        <v>857</v>
      </c>
      <c r="D191" s="8" t="s">
        <v>267</v>
      </c>
      <c r="E191" s="8" t="s">
        <v>286</v>
      </c>
      <c r="F191" s="8" t="s">
        <v>287</v>
      </c>
      <c r="G191" s="8" t="s">
        <v>90</v>
      </c>
      <c r="H191" s="8" t="s">
        <v>90</v>
      </c>
      <c r="I191" s="8" t="s">
        <v>90</v>
      </c>
      <c r="J191" s="8" t="s">
        <v>293</v>
      </c>
      <c r="K191" s="8">
        <v>8</v>
      </c>
      <c r="L191" s="8">
        <v>4</v>
      </c>
      <c r="M191" s="8">
        <v>12</v>
      </c>
      <c r="N191" s="9">
        <v>12</v>
      </c>
      <c r="O191" s="9">
        <v>12</v>
      </c>
      <c r="P191" s="9">
        <v>0</v>
      </c>
      <c r="Q191" s="9">
        <v>0</v>
      </c>
      <c r="R191" s="9">
        <v>0</v>
      </c>
      <c r="S191" s="9"/>
      <c r="T191" s="8"/>
      <c r="U191" s="8" t="s">
        <v>301</v>
      </c>
      <c r="V191" s="8" t="s">
        <v>288</v>
      </c>
      <c r="W191" s="10">
        <v>12</v>
      </c>
      <c r="X191" s="11" t="s">
        <v>854</v>
      </c>
      <c r="Y191" s="11" t="s">
        <v>845</v>
      </c>
      <c r="Z191" s="11" t="s">
        <v>855</v>
      </c>
    </row>
    <row r="192" ht="213" customHeight="1" spans="1:26">
      <c r="A192" s="8" t="s">
        <v>107</v>
      </c>
      <c r="B192" s="8" t="s">
        <v>99</v>
      </c>
      <c r="C192" s="8" t="s">
        <v>858</v>
      </c>
      <c r="D192" s="8" t="s">
        <v>267</v>
      </c>
      <c r="E192" s="8" t="s">
        <v>286</v>
      </c>
      <c r="F192" s="8" t="s">
        <v>287</v>
      </c>
      <c r="G192" s="8" t="s">
        <v>90</v>
      </c>
      <c r="H192" s="8" t="s">
        <v>90</v>
      </c>
      <c r="I192" s="8" t="s">
        <v>90</v>
      </c>
      <c r="J192" s="8" t="s">
        <v>293</v>
      </c>
      <c r="K192" s="8">
        <v>4</v>
      </c>
      <c r="L192" s="8">
        <v>0</v>
      </c>
      <c r="M192" s="8">
        <v>4</v>
      </c>
      <c r="N192" s="9">
        <v>0</v>
      </c>
      <c r="O192" s="9">
        <v>16</v>
      </c>
      <c r="P192" s="9">
        <v>0</v>
      </c>
      <c r="Q192" s="9">
        <v>4</v>
      </c>
      <c r="R192" s="9">
        <v>0</v>
      </c>
      <c r="S192" s="9"/>
      <c r="T192" s="8"/>
      <c r="U192" s="8" t="s">
        <v>301</v>
      </c>
      <c r="V192" s="8" t="s">
        <v>288</v>
      </c>
      <c r="W192" s="10">
        <v>40</v>
      </c>
      <c r="X192" s="11" t="s">
        <v>854</v>
      </c>
      <c r="Y192" s="11" t="s">
        <v>859</v>
      </c>
      <c r="Z192" s="11" t="s">
        <v>846</v>
      </c>
    </row>
    <row r="193" ht="213" customHeight="1" spans="1:26">
      <c r="A193" s="8" t="s">
        <v>107</v>
      </c>
      <c r="B193" s="8" t="s">
        <v>99</v>
      </c>
      <c r="C193" s="8" t="s">
        <v>860</v>
      </c>
      <c r="D193" s="8" t="s">
        <v>384</v>
      </c>
      <c r="E193" s="8" t="s">
        <v>286</v>
      </c>
      <c r="F193" s="8" t="s">
        <v>338</v>
      </c>
      <c r="G193" s="8" t="s">
        <v>90</v>
      </c>
      <c r="H193" s="8" t="s">
        <v>73</v>
      </c>
      <c r="I193" s="8" t="s">
        <v>90</v>
      </c>
      <c r="J193" s="8" t="s">
        <v>279</v>
      </c>
      <c r="K193" s="8">
        <v>0</v>
      </c>
      <c r="L193" s="8">
        <v>4</v>
      </c>
      <c r="M193" s="8">
        <v>4</v>
      </c>
      <c r="N193" s="9">
        <v>0</v>
      </c>
      <c r="O193" s="9">
        <v>0</v>
      </c>
      <c r="P193" s="9">
        <v>0</v>
      </c>
      <c r="Q193" s="9">
        <v>0</v>
      </c>
      <c r="R193" s="9">
        <v>0</v>
      </c>
      <c r="S193" s="9"/>
      <c r="T193" s="8"/>
      <c r="U193" s="8" t="s">
        <v>301</v>
      </c>
      <c r="V193" s="8" t="s">
        <v>288</v>
      </c>
      <c r="W193" s="10">
        <v>4</v>
      </c>
      <c r="X193" s="11" t="s">
        <v>854</v>
      </c>
      <c r="Y193" s="11" t="s">
        <v>859</v>
      </c>
      <c r="Z193" s="11" t="s">
        <v>852</v>
      </c>
    </row>
    <row r="194" ht="213" customHeight="1" spans="1:26">
      <c r="A194" s="8" t="s">
        <v>107</v>
      </c>
      <c r="B194" s="8" t="s">
        <v>99</v>
      </c>
      <c r="C194" s="8" t="s">
        <v>861</v>
      </c>
      <c r="D194" s="8" t="s">
        <v>384</v>
      </c>
      <c r="E194" s="8" t="s">
        <v>277</v>
      </c>
      <c r="F194" s="8" t="s">
        <v>338</v>
      </c>
      <c r="G194" s="8" t="s">
        <v>90</v>
      </c>
      <c r="H194" s="8" t="s">
        <v>73</v>
      </c>
      <c r="I194" s="8" t="s">
        <v>90</v>
      </c>
      <c r="J194" s="8" t="s">
        <v>279</v>
      </c>
      <c r="K194" s="8">
        <v>0</v>
      </c>
      <c r="L194" s="8">
        <v>8</v>
      </c>
      <c r="M194" s="8">
        <v>8</v>
      </c>
      <c r="N194" s="9">
        <v>0</v>
      </c>
      <c r="O194" s="9">
        <v>0</v>
      </c>
      <c r="P194" s="9">
        <v>0</v>
      </c>
      <c r="Q194" s="9">
        <v>0</v>
      </c>
      <c r="R194" s="9">
        <v>0</v>
      </c>
      <c r="S194" s="9"/>
      <c r="T194" s="8"/>
      <c r="U194" s="8" t="s">
        <v>301</v>
      </c>
      <c r="V194" s="8" t="s">
        <v>288</v>
      </c>
      <c r="W194" s="10">
        <v>0</v>
      </c>
      <c r="X194" s="11" t="s">
        <v>844</v>
      </c>
      <c r="Y194" s="11" t="s">
        <v>845</v>
      </c>
      <c r="Z194" s="11" t="s">
        <v>862</v>
      </c>
    </row>
    <row r="195" ht="213" customHeight="1" spans="1:26">
      <c r="A195" s="8" t="s">
        <v>107</v>
      </c>
      <c r="B195" s="8" t="s">
        <v>99</v>
      </c>
      <c r="C195" s="8" t="s">
        <v>863</v>
      </c>
      <c r="D195" s="8" t="s">
        <v>267</v>
      </c>
      <c r="E195" s="8" t="s">
        <v>317</v>
      </c>
      <c r="F195" s="8" t="s">
        <v>278</v>
      </c>
      <c r="G195" s="8" t="s">
        <v>90</v>
      </c>
      <c r="H195" s="8" t="s">
        <v>73</v>
      </c>
      <c r="I195" s="8" t="s">
        <v>90</v>
      </c>
      <c r="J195" s="8" t="s">
        <v>279</v>
      </c>
      <c r="K195" s="8">
        <v>0</v>
      </c>
      <c r="L195" s="8">
        <v>4</v>
      </c>
      <c r="M195" s="8">
        <v>4</v>
      </c>
      <c r="N195" s="9">
        <v>0</v>
      </c>
      <c r="O195" s="9">
        <v>0</v>
      </c>
      <c r="P195" s="9">
        <v>0</v>
      </c>
      <c r="Q195" s="9">
        <v>8</v>
      </c>
      <c r="R195" s="9">
        <v>0</v>
      </c>
      <c r="S195" s="9"/>
      <c r="T195" s="8"/>
      <c r="U195" s="8" t="s">
        <v>301</v>
      </c>
      <c r="V195" s="8" t="s">
        <v>288</v>
      </c>
      <c r="W195" s="10">
        <v>4</v>
      </c>
      <c r="X195" s="11" t="s">
        <v>848</v>
      </c>
      <c r="Y195" s="11" t="s">
        <v>849</v>
      </c>
      <c r="Z195" s="11" t="s">
        <v>846</v>
      </c>
    </row>
    <row r="196" ht="213" customHeight="1" spans="1:26">
      <c r="A196" s="8" t="s">
        <v>107</v>
      </c>
      <c r="B196" s="8" t="s">
        <v>99</v>
      </c>
      <c r="C196" s="8" t="s">
        <v>864</v>
      </c>
      <c r="D196" s="8" t="s">
        <v>267</v>
      </c>
      <c r="E196" s="8" t="s">
        <v>317</v>
      </c>
      <c r="F196" s="8" t="s">
        <v>278</v>
      </c>
      <c r="G196" s="8" t="s">
        <v>90</v>
      </c>
      <c r="H196" s="8" t="s">
        <v>73</v>
      </c>
      <c r="I196" s="8" t="s">
        <v>90</v>
      </c>
      <c r="J196" s="8" t="s">
        <v>279</v>
      </c>
      <c r="K196" s="8">
        <v>0</v>
      </c>
      <c r="L196" s="8">
        <v>4</v>
      </c>
      <c r="M196" s="8">
        <v>4</v>
      </c>
      <c r="N196" s="9">
        <v>0</v>
      </c>
      <c r="O196" s="9">
        <v>0</v>
      </c>
      <c r="P196" s="9">
        <v>0</v>
      </c>
      <c r="Q196" s="9">
        <v>0</v>
      </c>
      <c r="R196" s="9">
        <v>0</v>
      </c>
      <c r="S196" s="9"/>
      <c r="T196" s="8"/>
      <c r="U196" s="8" t="s">
        <v>301</v>
      </c>
      <c r="V196" s="8" t="s">
        <v>288</v>
      </c>
      <c r="W196" s="10">
        <v>0</v>
      </c>
      <c r="X196" s="11" t="s">
        <v>848</v>
      </c>
      <c r="Y196" s="11" t="s">
        <v>849</v>
      </c>
      <c r="Z196" s="11" t="s">
        <v>846</v>
      </c>
    </row>
    <row r="197" spans="1:26">
      <c r="A197" s="8" t="s">
        <v>107</v>
      </c>
      <c r="B197" s="8" t="s">
        <v>99</v>
      </c>
      <c r="C197" s="8" t="s">
        <v>865</v>
      </c>
      <c r="D197" s="8" t="s">
        <v>267</v>
      </c>
      <c r="E197" s="8" t="s">
        <v>317</v>
      </c>
      <c r="F197" s="8" t="s">
        <v>278</v>
      </c>
      <c r="G197" s="8" t="s">
        <v>90</v>
      </c>
      <c r="H197" s="8" t="s">
        <v>73</v>
      </c>
      <c r="I197" s="8" t="s">
        <v>90</v>
      </c>
      <c r="J197" s="8" t="s">
        <v>279</v>
      </c>
      <c r="K197" s="8">
        <v>0</v>
      </c>
      <c r="L197" s="8">
        <v>8</v>
      </c>
      <c r="M197" s="8">
        <v>8</v>
      </c>
      <c r="N197" s="9">
        <v>0</v>
      </c>
      <c r="O197" s="9">
        <v>0</v>
      </c>
      <c r="P197" s="9">
        <v>0</v>
      </c>
      <c r="Q197" s="9">
        <v>0</v>
      </c>
      <c r="R197" s="9">
        <v>0</v>
      </c>
      <c r="S197" s="9"/>
      <c r="T197" s="8"/>
      <c r="U197" s="8" t="s">
        <v>301</v>
      </c>
      <c r="V197" s="8" t="s">
        <v>288</v>
      </c>
      <c r="W197" s="10">
        <v>0</v>
      </c>
      <c r="X197" s="11" t="s">
        <v>848</v>
      </c>
      <c r="Y197" s="11" t="s">
        <v>849</v>
      </c>
      <c r="Z197" s="11" t="s">
        <v>866</v>
      </c>
    </row>
    <row r="198" ht="31" spans="1:26">
      <c r="A198" s="8" t="s">
        <v>107</v>
      </c>
      <c r="B198" s="8" t="s">
        <v>99</v>
      </c>
      <c r="C198" s="8" t="s">
        <v>867</v>
      </c>
      <c r="D198" s="8" t="s">
        <v>267</v>
      </c>
      <c r="E198" s="8" t="s">
        <v>317</v>
      </c>
      <c r="F198" s="8" t="s">
        <v>278</v>
      </c>
      <c r="G198" s="8" t="s">
        <v>73</v>
      </c>
      <c r="H198" s="8" t="s">
        <v>73</v>
      </c>
      <c r="I198" s="8" t="s">
        <v>90</v>
      </c>
      <c r="J198" s="8" t="s">
        <v>279</v>
      </c>
      <c r="K198" s="8">
        <v>0</v>
      </c>
      <c r="L198" s="8">
        <v>8</v>
      </c>
      <c r="M198" s="8">
        <v>8</v>
      </c>
      <c r="N198" s="9">
        <v>0</v>
      </c>
      <c r="O198" s="9">
        <v>4</v>
      </c>
      <c r="P198" s="9">
        <v>0</v>
      </c>
      <c r="Q198" s="9">
        <v>0</v>
      </c>
      <c r="R198" s="9">
        <v>0</v>
      </c>
      <c r="S198" s="9"/>
      <c r="T198" s="8"/>
      <c r="U198" s="8" t="s">
        <v>301</v>
      </c>
      <c r="V198" s="8" t="s">
        <v>288</v>
      </c>
      <c r="W198" s="10">
        <v>4</v>
      </c>
      <c r="X198" s="11" t="s">
        <v>844</v>
      </c>
      <c r="Y198" s="11" t="s">
        <v>845</v>
      </c>
      <c r="Z198" s="11" t="s">
        <v>862</v>
      </c>
    </row>
    <row r="199" ht="76" customHeight="1" spans="1:26">
      <c r="A199" s="8" t="s">
        <v>107</v>
      </c>
      <c r="B199" s="8" t="s">
        <v>99</v>
      </c>
      <c r="C199" s="8" t="s">
        <v>868</v>
      </c>
      <c r="D199" s="8" t="s">
        <v>267</v>
      </c>
      <c r="E199" s="8" t="s">
        <v>286</v>
      </c>
      <c r="F199" s="8" t="s">
        <v>287</v>
      </c>
      <c r="G199" s="8" t="s">
        <v>73</v>
      </c>
      <c r="H199" s="8" t="s">
        <v>73</v>
      </c>
      <c r="I199" s="8" t="s">
        <v>90</v>
      </c>
      <c r="J199" s="8" t="s">
        <v>293</v>
      </c>
      <c r="K199" s="8">
        <v>4</v>
      </c>
      <c r="L199" s="8">
        <v>0</v>
      </c>
      <c r="M199" s="8">
        <v>4</v>
      </c>
      <c r="N199" s="9">
        <v>0</v>
      </c>
      <c r="O199" s="9">
        <v>0</v>
      </c>
      <c r="P199" s="9">
        <v>0</v>
      </c>
      <c r="Q199" s="9">
        <v>0</v>
      </c>
      <c r="R199" s="9">
        <v>0</v>
      </c>
      <c r="S199" s="9"/>
      <c r="T199" s="8"/>
      <c r="U199" s="8" t="s">
        <v>301</v>
      </c>
      <c r="V199" s="8" t="s">
        <v>288</v>
      </c>
      <c r="W199" s="10">
        <v>4</v>
      </c>
      <c r="X199" s="11" t="s">
        <v>844</v>
      </c>
      <c r="Y199" s="11" t="s">
        <v>845</v>
      </c>
      <c r="Z199" s="11" t="s">
        <v>862</v>
      </c>
    </row>
    <row r="200" ht="46" customHeight="1" spans="1:26">
      <c r="A200" s="8" t="s">
        <v>107</v>
      </c>
      <c r="B200" s="8" t="s">
        <v>99</v>
      </c>
      <c r="C200" s="8" t="s">
        <v>869</v>
      </c>
      <c r="D200" s="8" t="s">
        <v>267</v>
      </c>
      <c r="E200" s="8" t="s">
        <v>384</v>
      </c>
      <c r="F200" s="8" t="s">
        <v>278</v>
      </c>
      <c r="G200" s="8" t="s">
        <v>73</v>
      </c>
      <c r="H200" s="8" t="s">
        <v>73</v>
      </c>
      <c r="I200" s="8" t="s">
        <v>90</v>
      </c>
      <c r="J200" s="8" t="s">
        <v>279</v>
      </c>
      <c r="K200" s="8">
        <v>0</v>
      </c>
      <c r="L200" s="8">
        <v>4</v>
      </c>
      <c r="M200" s="8">
        <v>4</v>
      </c>
      <c r="N200" s="9">
        <v>0</v>
      </c>
      <c r="O200" s="9">
        <v>0</v>
      </c>
      <c r="P200" s="9">
        <v>0</v>
      </c>
      <c r="Q200" s="9">
        <v>0</v>
      </c>
      <c r="R200" s="9">
        <v>0</v>
      </c>
      <c r="S200" s="9"/>
      <c r="T200" s="8"/>
      <c r="U200" s="8" t="s">
        <v>301</v>
      </c>
      <c r="V200" s="8" t="s">
        <v>288</v>
      </c>
      <c r="W200" s="10">
        <v>0</v>
      </c>
      <c r="X200" s="11" t="s">
        <v>844</v>
      </c>
      <c r="Y200" s="11" t="s">
        <v>845</v>
      </c>
      <c r="Z200" s="11" t="s">
        <v>862</v>
      </c>
    </row>
    <row r="201" ht="46" customHeight="1" spans="1:26">
      <c r="A201" s="8" t="s">
        <v>107</v>
      </c>
      <c r="B201" s="8" t="s">
        <v>99</v>
      </c>
      <c r="C201" s="8" t="s">
        <v>870</v>
      </c>
      <c r="D201" s="8" t="s">
        <v>267</v>
      </c>
      <c r="E201" s="8" t="s">
        <v>384</v>
      </c>
      <c r="F201" s="8" t="s">
        <v>278</v>
      </c>
      <c r="G201" s="8" t="s">
        <v>73</v>
      </c>
      <c r="H201" s="8" t="s">
        <v>73</v>
      </c>
      <c r="I201" s="8" t="s">
        <v>90</v>
      </c>
      <c r="J201" s="8" t="s">
        <v>279</v>
      </c>
      <c r="K201" s="8">
        <v>0</v>
      </c>
      <c r="L201" s="8">
        <v>12</v>
      </c>
      <c r="M201" s="8">
        <v>12</v>
      </c>
      <c r="N201" s="9">
        <v>0</v>
      </c>
      <c r="O201" s="9">
        <v>0</v>
      </c>
      <c r="P201" s="9">
        <v>0</v>
      </c>
      <c r="Q201" s="9">
        <v>0</v>
      </c>
      <c r="R201" s="9">
        <v>0</v>
      </c>
      <c r="S201" s="9"/>
      <c r="T201" s="8"/>
      <c r="U201" s="8" t="s">
        <v>301</v>
      </c>
      <c r="V201" s="8" t="s">
        <v>288</v>
      </c>
      <c r="W201" s="10">
        <v>20</v>
      </c>
      <c r="X201" s="11" t="s">
        <v>844</v>
      </c>
      <c r="Y201" s="11" t="s">
        <v>845</v>
      </c>
      <c r="Z201" s="11" t="s">
        <v>862</v>
      </c>
    </row>
    <row r="202" ht="31" customHeight="1" spans="1:26">
      <c r="A202" s="8" t="s">
        <v>107</v>
      </c>
      <c r="B202" s="8" t="s">
        <v>99</v>
      </c>
      <c r="C202" s="8" t="s">
        <v>871</v>
      </c>
      <c r="D202" s="8" t="s">
        <v>267</v>
      </c>
      <c r="E202" s="8" t="s">
        <v>384</v>
      </c>
      <c r="F202" s="8" t="s">
        <v>278</v>
      </c>
      <c r="G202" s="8" t="s">
        <v>90</v>
      </c>
      <c r="H202" s="8" t="s">
        <v>73</v>
      </c>
      <c r="I202" s="8" t="s">
        <v>73</v>
      </c>
      <c r="J202" s="8" t="s">
        <v>279</v>
      </c>
      <c r="K202" s="8">
        <v>0</v>
      </c>
      <c r="L202" s="8">
        <v>8</v>
      </c>
      <c r="M202" s="8">
        <v>8</v>
      </c>
      <c r="N202" s="9">
        <v>4</v>
      </c>
      <c r="O202" s="9">
        <v>12</v>
      </c>
      <c r="P202" s="9">
        <v>0</v>
      </c>
      <c r="Q202" s="9">
        <v>0</v>
      </c>
      <c r="R202" s="9">
        <v>0</v>
      </c>
      <c r="S202" s="9"/>
      <c r="T202" s="8"/>
      <c r="U202" s="8" t="s">
        <v>301</v>
      </c>
      <c r="V202" s="8" t="s">
        <v>288</v>
      </c>
      <c r="W202" s="10">
        <v>20</v>
      </c>
      <c r="X202" s="11" t="s">
        <v>844</v>
      </c>
      <c r="Y202" s="11" t="s">
        <v>845</v>
      </c>
      <c r="Z202" s="11" t="s">
        <v>862</v>
      </c>
    </row>
    <row r="203" ht="31" customHeight="1" spans="1:26">
      <c r="A203" s="8" t="s">
        <v>107</v>
      </c>
      <c r="B203" s="8" t="s">
        <v>99</v>
      </c>
      <c r="C203" s="8" t="s">
        <v>872</v>
      </c>
      <c r="D203" s="8" t="s">
        <v>267</v>
      </c>
      <c r="E203" s="8" t="s">
        <v>384</v>
      </c>
      <c r="F203" s="8" t="s">
        <v>278</v>
      </c>
      <c r="G203" s="8" t="s">
        <v>90</v>
      </c>
      <c r="H203" s="8" t="s">
        <v>73</v>
      </c>
      <c r="I203" s="8" t="s">
        <v>73</v>
      </c>
      <c r="J203" s="8" t="s">
        <v>279</v>
      </c>
      <c r="K203" s="8">
        <v>0</v>
      </c>
      <c r="L203" s="8">
        <v>8</v>
      </c>
      <c r="M203" s="8">
        <v>8</v>
      </c>
      <c r="N203" s="9">
        <v>0</v>
      </c>
      <c r="O203" s="9">
        <v>0</v>
      </c>
      <c r="P203" s="9">
        <v>0</v>
      </c>
      <c r="Q203" s="9">
        <v>4</v>
      </c>
      <c r="R203" s="9">
        <v>0</v>
      </c>
      <c r="S203" s="9"/>
      <c r="T203" s="8"/>
      <c r="U203" s="8" t="s">
        <v>301</v>
      </c>
      <c r="V203" s="8" t="s">
        <v>288</v>
      </c>
      <c r="W203" s="10">
        <v>0</v>
      </c>
      <c r="X203" s="11" t="s">
        <v>844</v>
      </c>
      <c r="Y203" s="11" t="s">
        <v>845</v>
      </c>
      <c r="Z203" s="11" t="s">
        <v>862</v>
      </c>
    </row>
    <row r="204" ht="61" spans="1:26">
      <c r="A204" s="8" t="s">
        <v>107</v>
      </c>
      <c r="B204" s="8" t="s">
        <v>99</v>
      </c>
      <c r="C204" s="8" t="s">
        <v>873</v>
      </c>
      <c r="D204" s="8" t="s">
        <v>267</v>
      </c>
      <c r="E204" s="8" t="s">
        <v>268</v>
      </c>
      <c r="F204" s="8" t="s">
        <v>269</v>
      </c>
      <c r="G204" s="8" t="s">
        <v>90</v>
      </c>
      <c r="H204" s="8" t="s">
        <v>73</v>
      </c>
      <c r="I204" s="8" t="s">
        <v>90</v>
      </c>
      <c r="J204" s="8" t="s">
        <v>270</v>
      </c>
      <c r="K204" s="8">
        <v>1</v>
      </c>
      <c r="L204" s="8">
        <v>0</v>
      </c>
      <c r="M204" s="8">
        <v>1</v>
      </c>
      <c r="N204" s="9">
        <v>0</v>
      </c>
      <c r="O204" s="9">
        <v>0</v>
      </c>
      <c r="P204" s="9">
        <v>4</v>
      </c>
      <c r="Q204" s="9">
        <v>0</v>
      </c>
      <c r="R204" s="9">
        <v>0</v>
      </c>
      <c r="S204" s="9"/>
      <c r="T204" s="8"/>
      <c r="U204" s="8" t="s">
        <v>301</v>
      </c>
      <c r="V204" s="8" t="s">
        <v>288</v>
      </c>
      <c r="W204" s="10">
        <v>8</v>
      </c>
      <c r="X204" s="11" t="s">
        <v>844</v>
      </c>
      <c r="Y204" s="11" t="s">
        <v>874</v>
      </c>
      <c r="Z204" s="11" t="s">
        <v>862</v>
      </c>
    </row>
    <row r="205" ht="31" customHeight="1" spans="1:26">
      <c r="A205" s="8" t="s">
        <v>107</v>
      </c>
      <c r="B205" s="8" t="s">
        <v>99</v>
      </c>
      <c r="C205" s="8" t="s">
        <v>875</v>
      </c>
      <c r="D205" s="8" t="s">
        <v>267</v>
      </c>
      <c r="E205" s="8" t="s">
        <v>317</v>
      </c>
      <c r="F205" s="8" t="s">
        <v>278</v>
      </c>
      <c r="G205" s="8" t="s">
        <v>90</v>
      </c>
      <c r="H205" s="8" t="s">
        <v>73</v>
      </c>
      <c r="I205" s="8" t="s">
        <v>90</v>
      </c>
      <c r="J205" s="8" t="s">
        <v>279</v>
      </c>
      <c r="K205" s="8">
        <v>0</v>
      </c>
      <c r="L205" s="8">
        <v>8</v>
      </c>
      <c r="M205" s="8">
        <v>8</v>
      </c>
      <c r="N205" s="9">
        <v>4</v>
      </c>
      <c r="O205" s="9">
        <v>4</v>
      </c>
      <c r="P205" s="9">
        <v>8</v>
      </c>
      <c r="Q205" s="9">
        <v>0</v>
      </c>
      <c r="R205" s="9">
        <v>0</v>
      </c>
      <c r="S205" s="9"/>
      <c r="T205" s="8"/>
      <c r="U205" s="8" t="s">
        <v>301</v>
      </c>
      <c r="V205" s="8" t="s">
        <v>288</v>
      </c>
      <c r="W205" s="10">
        <v>0</v>
      </c>
      <c r="X205" s="11" t="s">
        <v>844</v>
      </c>
      <c r="Y205" s="11" t="s">
        <v>845</v>
      </c>
      <c r="Z205" s="11" t="s">
        <v>862</v>
      </c>
    </row>
    <row r="206" ht="31" customHeight="1" spans="1:26">
      <c r="A206" s="8" t="s">
        <v>154</v>
      </c>
      <c r="B206" s="8" t="s">
        <v>99</v>
      </c>
      <c r="C206" s="8" t="s">
        <v>876</v>
      </c>
      <c r="D206" s="8" t="s">
        <v>267</v>
      </c>
      <c r="E206" s="8" t="s">
        <v>286</v>
      </c>
      <c r="F206" s="8" t="s">
        <v>287</v>
      </c>
      <c r="G206" s="8" t="s">
        <v>90</v>
      </c>
      <c r="H206" s="8" t="s">
        <v>90</v>
      </c>
      <c r="I206" s="8" t="s">
        <v>90</v>
      </c>
      <c r="J206" s="8" t="s">
        <v>279</v>
      </c>
      <c r="K206" s="8">
        <v>0</v>
      </c>
      <c r="L206" s="8">
        <v>8</v>
      </c>
      <c r="M206" s="8">
        <v>8</v>
      </c>
      <c r="N206" s="9">
        <v>88</v>
      </c>
      <c r="O206" s="9">
        <v>100</v>
      </c>
      <c r="P206" s="9">
        <v>140</v>
      </c>
      <c r="Q206" s="9">
        <v>100</v>
      </c>
      <c r="R206" s="9">
        <v>164</v>
      </c>
      <c r="S206" s="9"/>
      <c r="T206" s="8"/>
      <c r="U206" s="8" t="s">
        <v>272</v>
      </c>
      <c r="V206" s="8" t="s">
        <v>272</v>
      </c>
      <c r="W206" s="10">
        <v>140</v>
      </c>
      <c r="X206" s="11" t="s">
        <v>474</v>
      </c>
      <c r="Y206" s="11" t="s">
        <v>877</v>
      </c>
      <c r="Z206" s="11" t="s">
        <v>878</v>
      </c>
    </row>
    <row r="207" ht="31" customHeight="1" spans="1:26">
      <c r="A207" s="8" t="s">
        <v>154</v>
      </c>
      <c r="B207" s="8" t="s">
        <v>99</v>
      </c>
      <c r="C207" s="8" t="s">
        <v>879</v>
      </c>
      <c r="D207" s="8" t="s">
        <v>285</v>
      </c>
      <c r="E207" s="8" t="s">
        <v>286</v>
      </c>
      <c r="F207" s="8" t="s">
        <v>287</v>
      </c>
      <c r="G207" s="8" t="s">
        <v>90</v>
      </c>
      <c r="H207" s="8" t="s">
        <v>90</v>
      </c>
      <c r="I207" s="8" t="s">
        <v>90</v>
      </c>
      <c r="J207" s="8" t="s">
        <v>279</v>
      </c>
      <c r="K207" s="8">
        <v>0</v>
      </c>
      <c r="L207" s="8">
        <v>12</v>
      </c>
      <c r="M207" s="8">
        <v>12</v>
      </c>
      <c r="N207" s="9">
        <v>48</v>
      </c>
      <c r="O207" s="9">
        <v>44</v>
      </c>
      <c r="P207" s="9">
        <v>60</v>
      </c>
      <c r="Q207" s="9">
        <v>52</v>
      </c>
      <c r="R207" s="9">
        <v>68</v>
      </c>
      <c r="S207" s="9"/>
      <c r="T207" s="8"/>
      <c r="U207" s="8" t="s">
        <v>280</v>
      </c>
      <c r="V207" s="8" t="s">
        <v>271</v>
      </c>
      <c r="W207" s="10">
        <v>100</v>
      </c>
      <c r="X207" s="11" t="s">
        <v>880</v>
      </c>
      <c r="Y207" s="11" t="s">
        <v>881</v>
      </c>
      <c r="Z207" s="11" t="s">
        <v>882</v>
      </c>
    </row>
    <row r="208" ht="31" customHeight="1" spans="1:26">
      <c r="A208" s="8" t="s">
        <v>154</v>
      </c>
      <c r="B208" s="8" t="s">
        <v>99</v>
      </c>
      <c r="C208" s="8" t="s">
        <v>883</v>
      </c>
      <c r="D208" s="8" t="s">
        <v>267</v>
      </c>
      <c r="E208" s="8" t="s">
        <v>268</v>
      </c>
      <c r="F208" s="8" t="s">
        <v>269</v>
      </c>
      <c r="G208" s="8" t="s">
        <v>90</v>
      </c>
      <c r="H208" s="8" t="s">
        <v>90</v>
      </c>
      <c r="I208" s="8" t="s">
        <v>90</v>
      </c>
      <c r="J208" s="8" t="s">
        <v>270</v>
      </c>
      <c r="K208" s="8">
        <v>4</v>
      </c>
      <c r="L208" s="8">
        <v>8</v>
      </c>
      <c r="M208" s="8">
        <v>12</v>
      </c>
      <c r="N208" s="9">
        <v>48</v>
      </c>
      <c r="O208" s="9">
        <v>56</v>
      </c>
      <c r="P208" s="9">
        <v>20</v>
      </c>
      <c r="Q208" s="9">
        <v>44</v>
      </c>
      <c r="R208" s="9">
        <v>32</v>
      </c>
      <c r="S208" s="9"/>
      <c r="T208" s="8"/>
      <c r="U208" s="8" t="s">
        <v>280</v>
      </c>
      <c r="V208" s="8" t="s">
        <v>271</v>
      </c>
      <c r="W208" s="10">
        <v>50</v>
      </c>
      <c r="X208" s="11" t="s">
        <v>884</v>
      </c>
      <c r="Y208" s="11" t="s">
        <v>885</v>
      </c>
      <c r="Z208" s="11" t="s">
        <v>886</v>
      </c>
    </row>
    <row r="209" ht="92" spans="1:26">
      <c r="A209" s="8" t="s">
        <v>154</v>
      </c>
      <c r="B209" s="8" t="s">
        <v>99</v>
      </c>
      <c r="C209" s="8" t="s">
        <v>887</v>
      </c>
      <c r="D209" s="8" t="s">
        <v>267</v>
      </c>
      <c r="E209" s="8" t="s">
        <v>277</v>
      </c>
      <c r="F209" s="8" t="s">
        <v>278</v>
      </c>
      <c r="G209" s="8" t="s">
        <v>90</v>
      </c>
      <c r="H209" s="8" t="s">
        <v>90</v>
      </c>
      <c r="I209" s="8" t="s">
        <v>90</v>
      </c>
      <c r="J209" s="8" t="s">
        <v>279</v>
      </c>
      <c r="K209" s="8">
        <v>0</v>
      </c>
      <c r="L209" s="8">
        <v>8</v>
      </c>
      <c r="M209" s="8">
        <v>8</v>
      </c>
      <c r="N209" s="9">
        <v>0</v>
      </c>
      <c r="O209" s="9">
        <v>0</v>
      </c>
      <c r="P209" s="9">
        <v>0</v>
      </c>
      <c r="Q209" s="9">
        <v>8</v>
      </c>
      <c r="R209" s="9">
        <v>16</v>
      </c>
      <c r="S209" s="9"/>
      <c r="T209" s="8"/>
      <c r="U209" s="8" t="s">
        <v>288</v>
      </c>
      <c r="V209" s="8" t="s">
        <v>280</v>
      </c>
      <c r="W209" s="10">
        <v>20</v>
      </c>
      <c r="X209" s="11" t="s">
        <v>888</v>
      </c>
      <c r="Y209" s="11" t="s">
        <v>889</v>
      </c>
      <c r="Z209" s="11" t="s">
        <v>890</v>
      </c>
    </row>
    <row r="210" ht="31" customHeight="1" spans="1:26">
      <c r="A210" s="8" t="s">
        <v>154</v>
      </c>
      <c r="B210" s="8" t="s">
        <v>99</v>
      </c>
      <c r="C210" s="8" t="s">
        <v>891</v>
      </c>
      <c r="D210" s="8" t="s">
        <v>267</v>
      </c>
      <c r="E210" s="8" t="s">
        <v>277</v>
      </c>
      <c r="F210" s="8" t="s">
        <v>278</v>
      </c>
      <c r="G210" s="8" t="s">
        <v>90</v>
      </c>
      <c r="H210" s="8" t="s">
        <v>73</v>
      </c>
      <c r="I210" s="8" t="s">
        <v>73</v>
      </c>
      <c r="J210" s="8" t="s">
        <v>279</v>
      </c>
      <c r="K210" s="8">
        <v>0</v>
      </c>
      <c r="L210" s="8">
        <v>8</v>
      </c>
      <c r="M210" s="8">
        <v>8</v>
      </c>
      <c r="N210" s="9">
        <v>0</v>
      </c>
      <c r="O210" s="9">
        <v>0</v>
      </c>
      <c r="P210" s="9">
        <v>0</v>
      </c>
      <c r="Q210" s="9">
        <v>0</v>
      </c>
      <c r="R210" s="9">
        <v>0</v>
      </c>
      <c r="S210" s="9"/>
      <c r="T210" s="8"/>
      <c r="U210" s="8" t="s">
        <v>301</v>
      </c>
      <c r="V210" s="8" t="s">
        <v>288</v>
      </c>
      <c r="W210" s="10">
        <v>20</v>
      </c>
      <c r="X210" s="11" t="s">
        <v>888</v>
      </c>
      <c r="Y210" s="11" t="s">
        <v>892</v>
      </c>
      <c r="Z210" s="11" t="s">
        <v>893</v>
      </c>
    </row>
    <row r="211" ht="46" customHeight="1" spans="1:26">
      <c r="A211" s="8" t="s">
        <v>154</v>
      </c>
      <c r="B211" s="8" t="s">
        <v>99</v>
      </c>
      <c r="C211" s="8" t="s">
        <v>894</v>
      </c>
      <c r="D211" s="8" t="s">
        <v>384</v>
      </c>
      <c r="E211" s="8" t="s">
        <v>384</v>
      </c>
      <c r="F211" s="8" t="s">
        <v>338</v>
      </c>
      <c r="G211" s="8" t="s">
        <v>90</v>
      </c>
      <c r="H211" s="8" t="s">
        <v>73</v>
      </c>
      <c r="I211" s="8" t="s">
        <v>73</v>
      </c>
      <c r="J211" s="8" t="s">
        <v>279</v>
      </c>
      <c r="K211" s="8">
        <v>0</v>
      </c>
      <c r="L211" s="8">
        <v>4</v>
      </c>
      <c r="M211" s="8">
        <v>4</v>
      </c>
      <c r="N211" s="9">
        <v>0</v>
      </c>
      <c r="O211" s="9">
        <v>0</v>
      </c>
      <c r="P211" s="9">
        <v>0</v>
      </c>
      <c r="Q211" s="9">
        <v>0</v>
      </c>
      <c r="R211" s="9">
        <v>0</v>
      </c>
      <c r="S211" s="9"/>
      <c r="T211" s="8"/>
      <c r="U211" s="8" t="s">
        <v>301</v>
      </c>
      <c r="V211" s="8" t="s">
        <v>288</v>
      </c>
      <c r="W211" s="10">
        <v>0</v>
      </c>
      <c r="X211" s="11" t="s">
        <v>888</v>
      </c>
      <c r="Y211" s="11" t="s">
        <v>895</v>
      </c>
      <c r="Z211" s="11" t="s">
        <v>896</v>
      </c>
    </row>
    <row r="212" ht="46" customHeight="1" spans="1:26">
      <c r="A212" s="8" t="s">
        <v>154</v>
      </c>
      <c r="B212" s="8" t="s">
        <v>99</v>
      </c>
      <c r="C212" s="8" t="s">
        <v>897</v>
      </c>
      <c r="D212" s="8" t="s">
        <v>267</v>
      </c>
      <c r="E212" s="8" t="s">
        <v>286</v>
      </c>
      <c r="F212" s="8" t="s">
        <v>287</v>
      </c>
      <c r="G212" s="8" t="s">
        <v>90</v>
      </c>
      <c r="H212" s="8" t="s">
        <v>73</v>
      </c>
      <c r="I212" s="8" t="s">
        <v>90</v>
      </c>
      <c r="J212" s="8" t="s">
        <v>293</v>
      </c>
      <c r="K212" s="8">
        <v>2</v>
      </c>
      <c r="L212" s="8">
        <v>0</v>
      </c>
      <c r="M212" s="8">
        <v>2</v>
      </c>
      <c r="N212" s="9">
        <v>0</v>
      </c>
      <c r="O212" s="9">
        <v>0</v>
      </c>
      <c r="P212" s="9">
        <v>0</v>
      </c>
      <c r="Q212" s="9">
        <v>12</v>
      </c>
      <c r="R212" s="9">
        <v>0</v>
      </c>
      <c r="S212" s="9"/>
      <c r="T212" s="8"/>
      <c r="U212" s="8" t="s">
        <v>301</v>
      </c>
      <c r="V212" s="8" t="s">
        <v>288</v>
      </c>
      <c r="W212" s="10">
        <v>5</v>
      </c>
      <c r="X212" s="11" t="s">
        <v>898</v>
      </c>
      <c r="Y212" s="11" t="s">
        <v>899</v>
      </c>
      <c r="Z212" s="11" t="s">
        <v>900</v>
      </c>
    </row>
    <row r="213" ht="31" customHeight="1" spans="1:26">
      <c r="A213" s="8" t="s">
        <v>154</v>
      </c>
      <c r="B213" s="8" t="s">
        <v>99</v>
      </c>
      <c r="C213" s="8" t="s">
        <v>605</v>
      </c>
      <c r="D213" s="8" t="s">
        <v>267</v>
      </c>
      <c r="E213" s="8" t="s">
        <v>286</v>
      </c>
      <c r="F213" s="8" t="s">
        <v>287</v>
      </c>
      <c r="G213" s="8" t="s">
        <v>90</v>
      </c>
      <c r="H213" s="8" t="s">
        <v>73</v>
      </c>
      <c r="I213" s="8" t="s">
        <v>90</v>
      </c>
      <c r="J213" s="8" t="s">
        <v>293</v>
      </c>
      <c r="K213" s="8">
        <v>2</v>
      </c>
      <c r="L213" s="8">
        <v>0</v>
      </c>
      <c r="M213" s="8">
        <v>2</v>
      </c>
      <c r="N213" s="9">
        <v>0</v>
      </c>
      <c r="O213" s="9">
        <v>0</v>
      </c>
      <c r="P213" s="9">
        <v>0</v>
      </c>
      <c r="Q213" s="9">
        <v>0</v>
      </c>
      <c r="R213" s="9">
        <v>0</v>
      </c>
      <c r="S213" s="9"/>
      <c r="T213" s="8"/>
      <c r="U213" s="8" t="s">
        <v>301</v>
      </c>
      <c r="V213" s="8" t="s">
        <v>288</v>
      </c>
      <c r="W213" s="10">
        <v>5</v>
      </c>
      <c r="X213" s="11" t="s">
        <v>898</v>
      </c>
      <c r="Y213" s="11" t="s">
        <v>901</v>
      </c>
      <c r="Z213" s="11" t="s">
        <v>902</v>
      </c>
    </row>
    <row r="214" ht="31" customHeight="1" spans="1:26">
      <c r="A214" s="8" t="s">
        <v>154</v>
      </c>
      <c r="B214" s="8" t="s">
        <v>99</v>
      </c>
      <c r="C214" s="8" t="s">
        <v>903</v>
      </c>
      <c r="D214" s="8" t="s">
        <v>336</v>
      </c>
      <c r="E214" s="8" t="s">
        <v>337</v>
      </c>
      <c r="F214" s="8" t="s">
        <v>338</v>
      </c>
      <c r="G214" s="8" t="s">
        <v>90</v>
      </c>
      <c r="H214" s="8" t="s">
        <v>73</v>
      </c>
      <c r="I214" s="8" t="s">
        <v>90</v>
      </c>
      <c r="J214" s="8" t="s">
        <v>904</v>
      </c>
      <c r="K214" s="8">
        <v>8</v>
      </c>
      <c r="L214" s="8">
        <v>0</v>
      </c>
      <c r="M214" s="8">
        <v>8</v>
      </c>
      <c r="N214" s="9">
        <v>0</v>
      </c>
      <c r="O214" s="9">
        <v>0</v>
      </c>
      <c r="P214" s="9">
        <v>0</v>
      </c>
      <c r="Q214" s="9">
        <v>0</v>
      </c>
      <c r="R214" s="9">
        <v>0</v>
      </c>
      <c r="S214" s="9"/>
      <c r="T214" s="8"/>
      <c r="U214" s="8" t="s">
        <v>301</v>
      </c>
      <c r="V214" s="8" t="s">
        <v>288</v>
      </c>
      <c r="W214" s="10">
        <v>10</v>
      </c>
      <c r="X214" s="11" t="s">
        <v>888</v>
      </c>
      <c r="Y214" s="11" t="s">
        <v>905</v>
      </c>
      <c r="Z214" s="11" t="s">
        <v>906</v>
      </c>
    </row>
    <row r="215" ht="31" customHeight="1" spans="1:26">
      <c r="A215" s="8" t="s">
        <v>115</v>
      </c>
      <c r="B215" s="8" t="s">
        <v>99</v>
      </c>
      <c r="C215" s="8" t="s">
        <v>907</v>
      </c>
      <c r="D215" s="8" t="s">
        <v>285</v>
      </c>
      <c r="E215" s="8" t="s">
        <v>286</v>
      </c>
      <c r="F215" s="8" t="s">
        <v>287</v>
      </c>
      <c r="G215" s="8" t="s">
        <v>90</v>
      </c>
      <c r="H215" s="8" t="s">
        <v>90</v>
      </c>
      <c r="I215" s="8" t="s">
        <v>90</v>
      </c>
      <c r="J215" s="8" t="s">
        <v>279</v>
      </c>
      <c r="K215" s="8">
        <v>0</v>
      </c>
      <c r="L215" s="8">
        <v>8</v>
      </c>
      <c r="M215" s="8">
        <v>8</v>
      </c>
      <c r="N215" s="9">
        <v>120</v>
      </c>
      <c r="O215" s="9">
        <v>136</v>
      </c>
      <c r="P215" s="9">
        <v>160</v>
      </c>
      <c r="Q215" s="9">
        <v>204</v>
      </c>
      <c r="R215" s="9">
        <v>220</v>
      </c>
      <c r="S215" s="9"/>
      <c r="T215" s="8"/>
      <c r="U215" s="8" t="s">
        <v>272</v>
      </c>
      <c r="V215" s="8" t="s">
        <v>454</v>
      </c>
      <c r="W215" s="10">
        <v>400</v>
      </c>
      <c r="X215" s="11" t="s">
        <v>908</v>
      </c>
      <c r="Y215" s="11" t="s">
        <v>909</v>
      </c>
      <c r="Z215" s="11" t="s">
        <v>910</v>
      </c>
    </row>
    <row r="216" ht="31" customHeight="1" spans="1:26">
      <c r="A216" s="8" t="s">
        <v>115</v>
      </c>
      <c r="B216" s="8" t="s">
        <v>99</v>
      </c>
      <c r="C216" s="8" t="s">
        <v>911</v>
      </c>
      <c r="D216" s="8" t="s">
        <v>267</v>
      </c>
      <c r="E216" s="8" t="s">
        <v>268</v>
      </c>
      <c r="F216" s="8" t="s">
        <v>269</v>
      </c>
      <c r="G216" s="8" t="s">
        <v>90</v>
      </c>
      <c r="H216" s="8" t="s">
        <v>90</v>
      </c>
      <c r="I216" s="8" t="s">
        <v>90</v>
      </c>
      <c r="J216" s="8" t="s">
        <v>270</v>
      </c>
      <c r="K216" s="8">
        <v>4</v>
      </c>
      <c r="L216" s="8">
        <v>4</v>
      </c>
      <c r="M216" s="8">
        <v>8</v>
      </c>
      <c r="N216" s="9">
        <v>28</v>
      </c>
      <c r="O216" s="9">
        <v>36</v>
      </c>
      <c r="P216" s="9">
        <v>48</v>
      </c>
      <c r="Q216" s="9">
        <v>56</v>
      </c>
      <c r="R216" s="9">
        <v>72</v>
      </c>
      <c r="S216" s="9"/>
      <c r="T216" s="8"/>
      <c r="U216" s="8" t="s">
        <v>271</v>
      </c>
      <c r="V216" s="8" t="s">
        <v>272</v>
      </c>
      <c r="W216" s="10">
        <v>130</v>
      </c>
      <c r="X216" s="11" t="s">
        <v>912</v>
      </c>
      <c r="Y216" s="11" t="s">
        <v>913</v>
      </c>
      <c r="Z216" s="11" t="s">
        <v>914</v>
      </c>
    </row>
    <row r="217" ht="31" customHeight="1" spans="1:26">
      <c r="A217" s="8" t="s">
        <v>115</v>
      </c>
      <c r="B217" s="8" t="s">
        <v>99</v>
      </c>
      <c r="C217" s="8" t="s">
        <v>915</v>
      </c>
      <c r="D217" s="8" t="s">
        <v>267</v>
      </c>
      <c r="E217" s="8" t="s">
        <v>268</v>
      </c>
      <c r="F217" s="8" t="s">
        <v>269</v>
      </c>
      <c r="G217" s="8" t="s">
        <v>90</v>
      </c>
      <c r="H217" s="8" t="s">
        <v>90</v>
      </c>
      <c r="I217" s="8" t="s">
        <v>90</v>
      </c>
      <c r="J217" s="8" t="s">
        <v>270</v>
      </c>
      <c r="K217" s="8">
        <v>8</v>
      </c>
      <c r="L217" s="8">
        <v>8</v>
      </c>
      <c r="M217" s="8">
        <v>16</v>
      </c>
      <c r="N217" s="9">
        <v>96</v>
      </c>
      <c r="O217" s="9">
        <v>72</v>
      </c>
      <c r="P217" s="9">
        <v>72</v>
      </c>
      <c r="Q217" s="9">
        <v>72</v>
      </c>
      <c r="R217" s="9">
        <v>60</v>
      </c>
      <c r="S217" s="9"/>
      <c r="T217" s="8"/>
      <c r="U217" s="8" t="s">
        <v>280</v>
      </c>
      <c r="V217" s="8" t="s">
        <v>272</v>
      </c>
      <c r="W217" s="10">
        <v>80</v>
      </c>
      <c r="X217" s="11" t="s">
        <v>916</v>
      </c>
      <c r="Y217" s="11" t="s">
        <v>917</v>
      </c>
      <c r="Z217" s="11" t="s">
        <v>918</v>
      </c>
    </row>
    <row r="218" ht="259" spans="1:26">
      <c r="A218" s="8" t="s">
        <v>115</v>
      </c>
      <c r="B218" s="8" t="s">
        <v>99</v>
      </c>
      <c r="C218" s="8" t="s">
        <v>919</v>
      </c>
      <c r="D218" s="8" t="s">
        <v>267</v>
      </c>
      <c r="E218" s="8" t="s">
        <v>277</v>
      </c>
      <c r="F218" s="8" t="s">
        <v>278</v>
      </c>
      <c r="G218" s="8" t="s">
        <v>90</v>
      </c>
      <c r="H218" s="8" t="s">
        <v>90</v>
      </c>
      <c r="I218" s="8" t="s">
        <v>90</v>
      </c>
      <c r="J218" s="8" t="s">
        <v>279</v>
      </c>
      <c r="K218" s="8">
        <v>0</v>
      </c>
      <c r="L218" s="8">
        <v>4</v>
      </c>
      <c r="M218" s="8">
        <v>4</v>
      </c>
      <c r="N218" s="9">
        <v>40</v>
      </c>
      <c r="O218" s="9">
        <v>36</v>
      </c>
      <c r="P218" s="9">
        <v>32</v>
      </c>
      <c r="Q218" s="9">
        <v>32</v>
      </c>
      <c r="R218" s="9">
        <v>32</v>
      </c>
      <c r="S218" s="9"/>
      <c r="T218" s="8"/>
      <c r="U218" s="8" t="s">
        <v>280</v>
      </c>
      <c r="V218" s="8" t="s">
        <v>271</v>
      </c>
      <c r="W218" s="10">
        <v>70</v>
      </c>
      <c r="X218" s="11" t="s">
        <v>920</v>
      </c>
      <c r="Y218" s="11" t="s">
        <v>921</v>
      </c>
      <c r="Z218" s="11" t="s">
        <v>922</v>
      </c>
    </row>
    <row r="219" ht="244" spans="1:26">
      <c r="A219" s="8" t="s">
        <v>115</v>
      </c>
      <c r="B219" s="8" t="s">
        <v>99</v>
      </c>
      <c r="C219" s="8" t="s">
        <v>923</v>
      </c>
      <c r="D219" s="8" t="s">
        <v>285</v>
      </c>
      <c r="E219" s="8" t="s">
        <v>286</v>
      </c>
      <c r="F219" s="8" t="s">
        <v>287</v>
      </c>
      <c r="G219" s="8" t="s">
        <v>90</v>
      </c>
      <c r="H219" s="8" t="s">
        <v>90</v>
      </c>
      <c r="I219" s="8" t="s">
        <v>90</v>
      </c>
      <c r="J219" s="8" t="s">
        <v>279</v>
      </c>
      <c r="K219" s="8">
        <v>0</v>
      </c>
      <c r="L219" s="8">
        <v>8</v>
      </c>
      <c r="M219" s="8">
        <v>8</v>
      </c>
      <c r="N219" s="9">
        <v>0</v>
      </c>
      <c r="O219" s="9">
        <v>8</v>
      </c>
      <c r="P219" s="9">
        <v>32</v>
      </c>
      <c r="Q219" s="9">
        <v>32</v>
      </c>
      <c r="R219" s="9">
        <v>32</v>
      </c>
      <c r="S219" s="9"/>
      <c r="T219" s="8"/>
      <c r="U219" s="8" t="s">
        <v>280</v>
      </c>
      <c r="V219" s="8" t="s">
        <v>271</v>
      </c>
      <c r="W219" s="10">
        <v>70</v>
      </c>
      <c r="X219" s="11" t="s">
        <v>924</v>
      </c>
      <c r="Y219" s="11" t="s">
        <v>925</v>
      </c>
      <c r="Z219" s="11" t="s">
        <v>926</v>
      </c>
    </row>
    <row r="220" ht="335" spans="1:26">
      <c r="A220" s="8" t="s">
        <v>115</v>
      </c>
      <c r="B220" s="8" t="s">
        <v>99</v>
      </c>
      <c r="C220" s="8" t="s">
        <v>927</v>
      </c>
      <c r="D220" s="8" t="s">
        <v>267</v>
      </c>
      <c r="E220" s="8" t="s">
        <v>384</v>
      </c>
      <c r="F220" s="8" t="s">
        <v>278</v>
      </c>
      <c r="G220" s="8" t="s">
        <v>90</v>
      </c>
      <c r="H220" s="8" t="s">
        <v>73</v>
      </c>
      <c r="I220" s="8" t="s">
        <v>90</v>
      </c>
      <c r="J220" s="8" t="s">
        <v>279</v>
      </c>
      <c r="K220" s="8">
        <v>0</v>
      </c>
      <c r="L220" s="8">
        <v>8</v>
      </c>
      <c r="M220" s="8">
        <v>8</v>
      </c>
      <c r="N220" s="9">
        <v>4</v>
      </c>
      <c r="O220" s="9">
        <v>4</v>
      </c>
      <c r="P220" s="9">
        <v>4</v>
      </c>
      <c r="Q220" s="9">
        <v>4</v>
      </c>
      <c r="R220" s="9">
        <v>4</v>
      </c>
      <c r="S220" s="9"/>
      <c r="T220" s="8"/>
      <c r="U220" s="8" t="s">
        <v>288</v>
      </c>
      <c r="V220" s="8" t="s">
        <v>288</v>
      </c>
      <c r="W220" s="10">
        <v>20</v>
      </c>
      <c r="X220" s="11" t="s">
        <v>928</v>
      </c>
      <c r="Y220" s="11" t="s">
        <v>929</v>
      </c>
      <c r="Z220" s="11" t="s">
        <v>910</v>
      </c>
    </row>
    <row r="221" ht="335" spans="1:26">
      <c r="A221" s="8" t="s">
        <v>115</v>
      </c>
      <c r="B221" s="8" t="s">
        <v>99</v>
      </c>
      <c r="C221" s="8" t="s">
        <v>930</v>
      </c>
      <c r="D221" s="8" t="s">
        <v>267</v>
      </c>
      <c r="E221" s="8" t="s">
        <v>277</v>
      </c>
      <c r="F221" s="8" t="s">
        <v>278</v>
      </c>
      <c r="G221" s="8" t="s">
        <v>90</v>
      </c>
      <c r="H221" s="8" t="s">
        <v>73</v>
      </c>
      <c r="I221" s="8" t="s">
        <v>90</v>
      </c>
      <c r="J221" s="8" t="s">
        <v>279</v>
      </c>
      <c r="K221" s="8">
        <v>0</v>
      </c>
      <c r="L221" s="8">
        <v>8</v>
      </c>
      <c r="M221" s="8">
        <v>8</v>
      </c>
      <c r="N221" s="9">
        <v>0</v>
      </c>
      <c r="O221" s="9">
        <v>8</v>
      </c>
      <c r="P221" s="9">
        <v>0</v>
      </c>
      <c r="Q221" s="9">
        <v>0</v>
      </c>
      <c r="R221" s="9">
        <v>0</v>
      </c>
      <c r="S221" s="9"/>
      <c r="T221" s="8"/>
      <c r="U221" s="8" t="s">
        <v>301</v>
      </c>
      <c r="V221" s="8" t="s">
        <v>288</v>
      </c>
      <c r="W221" s="10">
        <v>20</v>
      </c>
      <c r="X221" s="11" t="s">
        <v>931</v>
      </c>
      <c r="Y221" s="11" t="s">
        <v>932</v>
      </c>
      <c r="Z221" s="11" t="s">
        <v>933</v>
      </c>
    </row>
    <row r="222" ht="31" customHeight="1" spans="1:26">
      <c r="A222" s="8" t="s">
        <v>115</v>
      </c>
      <c r="B222" s="8" t="s">
        <v>99</v>
      </c>
      <c r="C222" s="8" t="s">
        <v>934</v>
      </c>
      <c r="D222" s="8" t="s">
        <v>267</v>
      </c>
      <c r="E222" s="8" t="s">
        <v>277</v>
      </c>
      <c r="F222" s="8" t="s">
        <v>278</v>
      </c>
      <c r="G222" s="8" t="s">
        <v>90</v>
      </c>
      <c r="H222" s="8" t="s">
        <v>73</v>
      </c>
      <c r="I222" s="8" t="s">
        <v>90</v>
      </c>
      <c r="J222" s="8" t="s">
        <v>279</v>
      </c>
      <c r="K222" s="8">
        <v>0</v>
      </c>
      <c r="L222" s="8">
        <v>8</v>
      </c>
      <c r="M222" s="8">
        <v>8</v>
      </c>
      <c r="N222" s="9">
        <v>4</v>
      </c>
      <c r="O222" s="9">
        <v>0</v>
      </c>
      <c r="P222" s="9">
        <v>4</v>
      </c>
      <c r="Q222" s="9">
        <v>4</v>
      </c>
      <c r="R222" s="9">
        <v>0</v>
      </c>
      <c r="S222" s="9"/>
      <c r="T222" s="8"/>
      <c r="U222" s="8" t="s">
        <v>301</v>
      </c>
      <c r="V222" s="8" t="s">
        <v>288</v>
      </c>
      <c r="W222" s="10">
        <v>12</v>
      </c>
      <c r="X222" s="11" t="s">
        <v>928</v>
      </c>
      <c r="Y222" s="11" t="s">
        <v>935</v>
      </c>
      <c r="Z222" s="11" t="s">
        <v>910</v>
      </c>
    </row>
    <row r="223" ht="31" customHeight="1" spans="1:26">
      <c r="A223" s="8" t="s">
        <v>115</v>
      </c>
      <c r="B223" s="8" t="s">
        <v>99</v>
      </c>
      <c r="C223" s="8" t="s">
        <v>936</v>
      </c>
      <c r="D223" s="8" t="s">
        <v>267</v>
      </c>
      <c r="E223" s="8" t="s">
        <v>277</v>
      </c>
      <c r="F223" s="8" t="s">
        <v>278</v>
      </c>
      <c r="G223" s="8" t="s">
        <v>90</v>
      </c>
      <c r="H223" s="8" t="s">
        <v>73</v>
      </c>
      <c r="I223" s="8" t="s">
        <v>90</v>
      </c>
      <c r="J223" s="8" t="s">
        <v>279</v>
      </c>
      <c r="K223" s="8">
        <v>0</v>
      </c>
      <c r="L223" s="8">
        <v>4</v>
      </c>
      <c r="M223" s="8">
        <v>4</v>
      </c>
      <c r="N223" s="9">
        <v>8</v>
      </c>
      <c r="O223" s="9">
        <v>8</v>
      </c>
      <c r="P223" s="9">
        <v>0</v>
      </c>
      <c r="Q223" s="9">
        <v>0</v>
      </c>
      <c r="R223" s="9">
        <v>0</v>
      </c>
      <c r="S223" s="9"/>
      <c r="T223" s="8"/>
      <c r="U223" s="8" t="s">
        <v>301</v>
      </c>
      <c r="V223" s="8" t="s">
        <v>288</v>
      </c>
      <c r="W223" s="10">
        <v>12</v>
      </c>
      <c r="X223" s="11" t="s">
        <v>931</v>
      </c>
      <c r="Y223" s="11" t="s">
        <v>937</v>
      </c>
      <c r="Z223" s="11" t="s">
        <v>933</v>
      </c>
    </row>
    <row r="224" ht="31" customHeight="1" spans="1:26">
      <c r="A224" s="8" t="s">
        <v>115</v>
      </c>
      <c r="B224" s="8" t="s">
        <v>99</v>
      </c>
      <c r="C224" s="8" t="s">
        <v>938</v>
      </c>
      <c r="D224" s="8" t="s">
        <v>285</v>
      </c>
      <c r="E224" s="8" t="s">
        <v>286</v>
      </c>
      <c r="F224" s="8" t="s">
        <v>287</v>
      </c>
      <c r="G224" s="8" t="s">
        <v>90</v>
      </c>
      <c r="H224" s="8" t="s">
        <v>73</v>
      </c>
      <c r="I224" s="8" t="s">
        <v>90</v>
      </c>
      <c r="J224" s="8" t="s">
        <v>279</v>
      </c>
      <c r="K224" s="8">
        <v>0</v>
      </c>
      <c r="L224" s="8">
        <v>8</v>
      </c>
      <c r="M224" s="8">
        <v>8</v>
      </c>
      <c r="N224" s="9">
        <v>0</v>
      </c>
      <c r="O224" s="9">
        <v>0</v>
      </c>
      <c r="P224" s="9">
        <v>0</v>
      </c>
      <c r="Q224" s="9">
        <v>0</v>
      </c>
      <c r="R224" s="9">
        <v>0</v>
      </c>
      <c r="S224" s="9"/>
      <c r="T224" s="8"/>
      <c r="U224" s="8" t="s">
        <v>301</v>
      </c>
      <c r="V224" s="8" t="s">
        <v>288</v>
      </c>
      <c r="W224" s="10">
        <v>70</v>
      </c>
      <c r="X224" s="11" t="s">
        <v>924</v>
      </c>
      <c r="Y224" s="11" t="s">
        <v>939</v>
      </c>
      <c r="Z224" s="11" t="s">
        <v>926</v>
      </c>
    </row>
    <row r="225" ht="31" customHeight="1" spans="1:26">
      <c r="A225" s="8" t="s">
        <v>115</v>
      </c>
      <c r="B225" s="8" t="s">
        <v>99</v>
      </c>
      <c r="C225" s="8" t="s">
        <v>940</v>
      </c>
      <c r="D225" s="8" t="s">
        <v>267</v>
      </c>
      <c r="E225" s="8" t="s">
        <v>268</v>
      </c>
      <c r="F225" s="8" t="s">
        <v>269</v>
      </c>
      <c r="G225" s="8" t="s">
        <v>90</v>
      </c>
      <c r="H225" s="8" t="s">
        <v>73</v>
      </c>
      <c r="I225" s="8" t="s">
        <v>90</v>
      </c>
      <c r="J225" s="8" t="s">
        <v>270</v>
      </c>
      <c r="K225" s="8">
        <v>4</v>
      </c>
      <c r="L225" s="8">
        <v>4</v>
      </c>
      <c r="M225" s="8">
        <v>8</v>
      </c>
      <c r="N225" s="9">
        <v>4</v>
      </c>
      <c r="O225" s="9">
        <v>4</v>
      </c>
      <c r="P225" s="9">
        <v>4</v>
      </c>
      <c r="Q225" s="9">
        <v>0</v>
      </c>
      <c r="R225" s="9">
        <v>0</v>
      </c>
      <c r="S225" s="9"/>
      <c r="T225" s="8"/>
      <c r="U225" s="8" t="s">
        <v>301</v>
      </c>
      <c r="V225" s="8" t="s">
        <v>288</v>
      </c>
      <c r="W225" s="10">
        <v>20</v>
      </c>
      <c r="X225" s="11" t="s">
        <v>941</v>
      </c>
      <c r="Y225" s="11" t="s">
        <v>942</v>
      </c>
      <c r="Z225" s="11" t="s">
        <v>943</v>
      </c>
    </row>
    <row r="226" ht="31" customHeight="1" spans="1:26">
      <c r="A226" s="8" t="s">
        <v>115</v>
      </c>
      <c r="B226" s="8" t="s">
        <v>99</v>
      </c>
      <c r="C226" s="8" t="s">
        <v>944</v>
      </c>
      <c r="D226" s="8" t="s">
        <v>267</v>
      </c>
      <c r="E226" s="8" t="s">
        <v>277</v>
      </c>
      <c r="F226" s="8" t="s">
        <v>278</v>
      </c>
      <c r="G226" s="8" t="s">
        <v>90</v>
      </c>
      <c r="H226" s="8" t="s">
        <v>73</v>
      </c>
      <c r="I226" s="8" t="s">
        <v>73</v>
      </c>
      <c r="J226" s="8" t="s">
        <v>279</v>
      </c>
      <c r="K226" s="8">
        <v>0</v>
      </c>
      <c r="L226" s="8">
        <v>4</v>
      </c>
      <c r="M226" s="8">
        <v>4</v>
      </c>
      <c r="N226" s="9">
        <v>0</v>
      </c>
      <c r="O226" s="9">
        <v>0</v>
      </c>
      <c r="P226" s="9">
        <v>0</v>
      </c>
      <c r="Q226" s="9">
        <v>0</v>
      </c>
      <c r="R226" s="9">
        <v>0</v>
      </c>
      <c r="S226" s="9"/>
      <c r="T226" s="8"/>
      <c r="U226" s="8" t="s">
        <v>301</v>
      </c>
      <c r="V226" s="8" t="s">
        <v>288</v>
      </c>
      <c r="W226" s="10">
        <v>12</v>
      </c>
      <c r="X226" s="11" t="s">
        <v>941</v>
      </c>
      <c r="Y226" s="11" t="s">
        <v>942</v>
      </c>
      <c r="Z226" s="11" t="s">
        <v>910</v>
      </c>
    </row>
    <row r="227" ht="31" customHeight="1" spans="1:26">
      <c r="A227" s="8" t="s">
        <v>115</v>
      </c>
      <c r="B227" s="8" t="s">
        <v>99</v>
      </c>
      <c r="C227" s="8" t="s">
        <v>945</v>
      </c>
      <c r="D227" s="8" t="s">
        <v>267</v>
      </c>
      <c r="E227" s="8" t="s">
        <v>277</v>
      </c>
      <c r="F227" s="8" t="s">
        <v>278</v>
      </c>
      <c r="G227" s="8" t="s">
        <v>90</v>
      </c>
      <c r="H227" s="8" t="s">
        <v>73</v>
      </c>
      <c r="I227" s="8" t="s">
        <v>73</v>
      </c>
      <c r="J227" s="8" t="s">
        <v>279</v>
      </c>
      <c r="K227" s="8">
        <v>0</v>
      </c>
      <c r="L227" s="8">
        <v>6</v>
      </c>
      <c r="M227" s="8">
        <v>6</v>
      </c>
      <c r="N227" s="9">
        <v>0</v>
      </c>
      <c r="O227" s="9">
        <v>0</v>
      </c>
      <c r="P227" s="9">
        <v>0</v>
      </c>
      <c r="Q227" s="9">
        <v>0</v>
      </c>
      <c r="R227" s="9">
        <v>0</v>
      </c>
      <c r="S227" s="9"/>
      <c r="T227" s="8"/>
      <c r="U227" s="8" t="s">
        <v>301</v>
      </c>
      <c r="V227" s="8" t="s">
        <v>288</v>
      </c>
      <c r="W227" s="10">
        <v>12</v>
      </c>
      <c r="X227" s="11" t="s">
        <v>941</v>
      </c>
      <c r="Y227" s="11" t="s">
        <v>942</v>
      </c>
      <c r="Z227" s="11" t="s">
        <v>946</v>
      </c>
    </row>
    <row r="228" ht="76" customHeight="1" spans="1:26">
      <c r="A228" s="8" t="s">
        <v>115</v>
      </c>
      <c r="B228" s="8" t="s">
        <v>99</v>
      </c>
      <c r="C228" s="8" t="s">
        <v>947</v>
      </c>
      <c r="D228" s="8" t="s">
        <v>285</v>
      </c>
      <c r="E228" s="8" t="s">
        <v>286</v>
      </c>
      <c r="F228" s="8" t="s">
        <v>287</v>
      </c>
      <c r="G228" s="8" t="s">
        <v>90</v>
      </c>
      <c r="H228" s="8" t="s">
        <v>90</v>
      </c>
      <c r="I228" s="8" t="s">
        <v>90</v>
      </c>
      <c r="J228" s="8" t="s">
        <v>279</v>
      </c>
      <c r="K228" s="8">
        <v>0</v>
      </c>
      <c r="L228" s="8">
        <v>6</v>
      </c>
      <c r="M228" s="8">
        <v>6</v>
      </c>
      <c r="N228" s="9">
        <v>0</v>
      </c>
      <c r="O228" s="9">
        <v>0</v>
      </c>
      <c r="P228" s="9">
        <v>0</v>
      </c>
      <c r="Q228" s="9">
        <v>0</v>
      </c>
      <c r="R228" s="9">
        <v>0</v>
      </c>
      <c r="S228" s="9"/>
      <c r="T228" s="8"/>
      <c r="U228" s="8" t="s">
        <v>301</v>
      </c>
      <c r="V228" s="8" t="s">
        <v>288</v>
      </c>
      <c r="W228" s="10">
        <v>20</v>
      </c>
      <c r="X228" s="11" t="s">
        <v>924</v>
      </c>
      <c r="Y228" s="11" t="s">
        <v>948</v>
      </c>
      <c r="Z228" s="11" t="s">
        <v>926</v>
      </c>
    </row>
    <row r="229" ht="31" customHeight="1" spans="1:26">
      <c r="A229" s="8" t="s">
        <v>115</v>
      </c>
      <c r="B229" s="8" t="s">
        <v>99</v>
      </c>
      <c r="C229" s="8" t="s">
        <v>949</v>
      </c>
      <c r="D229" s="8" t="s">
        <v>384</v>
      </c>
      <c r="E229" s="8" t="s">
        <v>384</v>
      </c>
      <c r="F229" s="8" t="s">
        <v>338</v>
      </c>
      <c r="G229" s="8" t="s">
        <v>90</v>
      </c>
      <c r="H229" s="8" t="s">
        <v>73</v>
      </c>
      <c r="I229" s="8" t="s">
        <v>90</v>
      </c>
      <c r="J229" s="8" t="s">
        <v>279</v>
      </c>
      <c r="K229" s="8">
        <v>0</v>
      </c>
      <c r="L229" s="8">
        <v>4</v>
      </c>
      <c r="M229" s="8">
        <v>4</v>
      </c>
      <c r="N229" s="9">
        <v>0</v>
      </c>
      <c r="O229" s="9">
        <v>0</v>
      </c>
      <c r="P229" s="9">
        <v>0</v>
      </c>
      <c r="Q229" s="9">
        <v>0</v>
      </c>
      <c r="R229" s="9">
        <v>0</v>
      </c>
      <c r="S229" s="9"/>
      <c r="T229" s="8"/>
      <c r="U229" s="8" t="s">
        <v>301</v>
      </c>
      <c r="V229" s="8" t="s">
        <v>288</v>
      </c>
      <c r="W229" s="10">
        <v>12</v>
      </c>
      <c r="X229" s="11" t="s">
        <v>950</v>
      </c>
      <c r="Y229" s="11" t="s">
        <v>951</v>
      </c>
      <c r="Z229" s="11" t="s">
        <v>952</v>
      </c>
    </row>
    <row r="230" ht="365" customHeight="1" spans="1:26">
      <c r="A230" s="8" t="s">
        <v>115</v>
      </c>
      <c r="B230" s="8" t="s">
        <v>99</v>
      </c>
      <c r="C230" s="8" t="s">
        <v>953</v>
      </c>
      <c r="D230" s="8" t="s">
        <v>384</v>
      </c>
      <c r="E230" s="8" t="s">
        <v>337</v>
      </c>
      <c r="F230" s="8" t="s">
        <v>338</v>
      </c>
      <c r="G230" s="8" t="s">
        <v>90</v>
      </c>
      <c r="H230" s="8" t="s">
        <v>73</v>
      </c>
      <c r="I230" s="8" t="s">
        <v>73</v>
      </c>
      <c r="J230" s="8" t="s">
        <v>279</v>
      </c>
      <c r="K230" s="8">
        <v>0</v>
      </c>
      <c r="L230" s="8">
        <v>8</v>
      </c>
      <c r="M230" s="8">
        <v>8</v>
      </c>
      <c r="N230" s="9">
        <v>0</v>
      </c>
      <c r="O230" s="9">
        <v>0</v>
      </c>
      <c r="P230" s="9">
        <v>0</v>
      </c>
      <c r="Q230" s="9">
        <v>0</v>
      </c>
      <c r="R230" s="9">
        <v>0</v>
      </c>
      <c r="S230" s="9"/>
      <c r="T230" s="8"/>
      <c r="U230" s="8" t="s">
        <v>301</v>
      </c>
      <c r="V230" s="8" t="s">
        <v>288</v>
      </c>
      <c r="W230" s="10">
        <v>12</v>
      </c>
      <c r="X230" s="11" t="s">
        <v>954</v>
      </c>
      <c r="Y230" s="11" t="s">
        <v>951</v>
      </c>
      <c r="Z230" s="11" t="s">
        <v>952</v>
      </c>
    </row>
    <row r="231" ht="409.5" customHeight="1" spans="1:26">
      <c r="A231" s="8" t="s">
        <v>115</v>
      </c>
      <c r="B231" s="8" t="s">
        <v>99</v>
      </c>
      <c r="C231" s="8" t="s">
        <v>955</v>
      </c>
      <c r="D231" s="8" t="s">
        <v>384</v>
      </c>
      <c r="E231" s="8" t="s">
        <v>384</v>
      </c>
      <c r="F231" s="8" t="s">
        <v>338</v>
      </c>
      <c r="G231" s="8" t="s">
        <v>90</v>
      </c>
      <c r="H231" s="8" t="s">
        <v>73</v>
      </c>
      <c r="I231" s="8" t="s">
        <v>73</v>
      </c>
      <c r="J231" s="8" t="s">
        <v>279</v>
      </c>
      <c r="K231" s="8">
        <v>0</v>
      </c>
      <c r="L231" s="8">
        <v>8</v>
      </c>
      <c r="M231" s="8">
        <v>8</v>
      </c>
      <c r="N231" s="9">
        <v>0</v>
      </c>
      <c r="O231" s="9">
        <v>0</v>
      </c>
      <c r="P231" s="9">
        <v>0</v>
      </c>
      <c r="Q231" s="9">
        <v>0</v>
      </c>
      <c r="R231" s="9">
        <v>0</v>
      </c>
      <c r="S231" s="9"/>
      <c r="T231" s="8"/>
      <c r="U231" s="8" t="s">
        <v>301</v>
      </c>
      <c r="V231" s="8" t="s">
        <v>288</v>
      </c>
      <c r="W231" s="10">
        <v>12</v>
      </c>
      <c r="X231" s="11" t="s">
        <v>941</v>
      </c>
      <c r="Y231" s="11" t="s">
        <v>942</v>
      </c>
      <c r="Z231" s="11" t="s">
        <v>946</v>
      </c>
    </row>
    <row r="232" ht="168" customHeight="1" spans="1:26">
      <c r="A232" s="8" t="s">
        <v>115</v>
      </c>
      <c r="B232" s="8" t="s">
        <v>99</v>
      </c>
      <c r="C232" s="8" t="s">
        <v>956</v>
      </c>
      <c r="D232" s="8" t="s">
        <v>384</v>
      </c>
      <c r="E232" s="8" t="s">
        <v>384</v>
      </c>
      <c r="F232" s="8" t="s">
        <v>338</v>
      </c>
      <c r="G232" s="8" t="s">
        <v>90</v>
      </c>
      <c r="H232" s="8" t="s">
        <v>73</v>
      </c>
      <c r="I232" s="8" t="s">
        <v>73</v>
      </c>
      <c r="J232" s="8" t="s">
        <v>279</v>
      </c>
      <c r="K232" s="8">
        <v>0</v>
      </c>
      <c r="L232" s="8">
        <v>4</v>
      </c>
      <c r="M232" s="8">
        <v>4</v>
      </c>
      <c r="N232" s="9">
        <v>0</v>
      </c>
      <c r="O232" s="9">
        <v>0</v>
      </c>
      <c r="P232" s="9">
        <v>0</v>
      </c>
      <c r="Q232" s="9">
        <v>0</v>
      </c>
      <c r="R232" s="9">
        <v>0</v>
      </c>
      <c r="S232" s="9"/>
      <c r="T232" s="8"/>
      <c r="U232" s="8" t="s">
        <v>301</v>
      </c>
      <c r="V232" s="8" t="s">
        <v>288</v>
      </c>
      <c r="W232" s="10">
        <v>12</v>
      </c>
      <c r="X232" s="11" t="s">
        <v>941</v>
      </c>
      <c r="Y232" s="11" t="s">
        <v>942</v>
      </c>
      <c r="Z232" s="11" t="s">
        <v>946</v>
      </c>
    </row>
    <row r="233" ht="320" customHeight="1" spans="1:26">
      <c r="A233" s="8" t="s">
        <v>115</v>
      </c>
      <c r="B233" s="8" t="s">
        <v>99</v>
      </c>
      <c r="C233" s="8" t="s">
        <v>957</v>
      </c>
      <c r="D233" s="8" t="s">
        <v>285</v>
      </c>
      <c r="E233" s="8" t="s">
        <v>286</v>
      </c>
      <c r="F233" s="8" t="s">
        <v>287</v>
      </c>
      <c r="G233" s="8" t="s">
        <v>90</v>
      </c>
      <c r="H233" s="8" t="s">
        <v>73</v>
      </c>
      <c r="I233" s="8" t="s">
        <v>90</v>
      </c>
      <c r="J233" s="8" t="s">
        <v>279</v>
      </c>
      <c r="K233" s="8">
        <v>0</v>
      </c>
      <c r="L233" s="8">
        <v>6</v>
      </c>
      <c r="M233" s="8">
        <v>6</v>
      </c>
      <c r="N233" s="9">
        <v>0</v>
      </c>
      <c r="O233" s="9">
        <v>0</v>
      </c>
      <c r="P233" s="9">
        <v>0</v>
      </c>
      <c r="Q233" s="9">
        <v>0</v>
      </c>
      <c r="R233" s="9">
        <v>0</v>
      </c>
      <c r="S233" s="9"/>
      <c r="T233" s="8"/>
      <c r="U233" s="8" t="s">
        <v>301</v>
      </c>
      <c r="V233" s="8" t="s">
        <v>288</v>
      </c>
      <c r="W233" s="10">
        <v>12</v>
      </c>
      <c r="X233" s="11" t="s">
        <v>908</v>
      </c>
      <c r="Y233" s="11" t="s">
        <v>909</v>
      </c>
      <c r="Z233" s="11" t="s">
        <v>910</v>
      </c>
    </row>
    <row r="234" ht="259" customHeight="1" spans="1:26">
      <c r="A234" s="8" t="s">
        <v>115</v>
      </c>
      <c r="B234" s="8" t="s">
        <v>99</v>
      </c>
      <c r="C234" s="8" t="s">
        <v>958</v>
      </c>
      <c r="D234" s="8" t="s">
        <v>267</v>
      </c>
      <c r="E234" s="8" t="s">
        <v>277</v>
      </c>
      <c r="F234" s="8" t="s">
        <v>278</v>
      </c>
      <c r="G234" s="8" t="s">
        <v>90</v>
      </c>
      <c r="H234" s="8" t="s">
        <v>73</v>
      </c>
      <c r="I234" s="8" t="s">
        <v>73</v>
      </c>
      <c r="J234" s="8" t="s">
        <v>279</v>
      </c>
      <c r="K234" s="8">
        <v>0</v>
      </c>
      <c r="L234" s="8">
        <v>8</v>
      </c>
      <c r="M234" s="8">
        <v>8</v>
      </c>
      <c r="N234" s="9">
        <v>0</v>
      </c>
      <c r="O234" s="9">
        <v>0</v>
      </c>
      <c r="P234" s="9">
        <v>0</v>
      </c>
      <c r="Q234" s="9">
        <v>0</v>
      </c>
      <c r="R234" s="9">
        <v>0</v>
      </c>
      <c r="S234" s="9"/>
      <c r="T234" s="8"/>
      <c r="U234" s="8" t="s">
        <v>301</v>
      </c>
      <c r="V234" s="8" t="s">
        <v>288</v>
      </c>
      <c r="W234" s="10">
        <v>12</v>
      </c>
      <c r="X234" s="11" t="s">
        <v>959</v>
      </c>
      <c r="Y234" s="11" t="s">
        <v>960</v>
      </c>
      <c r="Z234" s="11" t="s">
        <v>961</v>
      </c>
    </row>
    <row r="235" ht="396" customHeight="1" spans="1:26">
      <c r="A235" s="8" t="s">
        <v>115</v>
      </c>
      <c r="B235" s="8" t="s">
        <v>99</v>
      </c>
      <c r="C235" s="8" t="s">
        <v>962</v>
      </c>
      <c r="D235" s="8" t="s">
        <v>267</v>
      </c>
      <c r="E235" s="8" t="s">
        <v>277</v>
      </c>
      <c r="F235" s="8" t="s">
        <v>278</v>
      </c>
      <c r="G235" s="8" t="s">
        <v>90</v>
      </c>
      <c r="H235" s="8" t="s">
        <v>73</v>
      </c>
      <c r="I235" s="8" t="s">
        <v>90</v>
      </c>
      <c r="J235" s="8" t="s">
        <v>279</v>
      </c>
      <c r="K235" s="8">
        <v>0</v>
      </c>
      <c r="L235" s="8">
        <v>10</v>
      </c>
      <c r="M235" s="8">
        <v>10</v>
      </c>
      <c r="N235" s="9">
        <v>4</v>
      </c>
      <c r="O235" s="9">
        <v>0</v>
      </c>
      <c r="P235" s="9">
        <v>0</v>
      </c>
      <c r="Q235" s="9">
        <v>0</v>
      </c>
      <c r="R235" s="9">
        <v>0</v>
      </c>
      <c r="S235" s="9"/>
      <c r="T235" s="8"/>
      <c r="U235" s="8" t="s">
        <v>301</v>
      </c>
      <c r="V235" s="8" t="s">
        <v>288</v>
      </c>
      <c r="W235" s="10">
        <v>12</v>
      </c>
      <c r="X235" s="11" t="s">
        <v>941</v>
      </c>
      <c r="Y235" s="11" t="s">
        <v>942</v>
      </c>
      <c r="Z235" s="11" t="s">
        <v>910</v>
      </c>
    </row>
    <row r="236" ht="350" customHeight="1" spans="1:26">
      <c r="A236" s="8" t="s">
        <v>115</v>
      </c>
      <c r="B236" s="8" t="s">
        <v>99</v>
      </c>
      <c r="C236" s="8" t="s">
        <v>963</v>
      </c>
      <c r="D236" s="8" t="s">
        <v>336</v>
      </c>
      <c r="E236" s="8" t="s">
        <v>337</v>
      </c>
      <c r="F236" s="8" t="s">
        <v>338</v>
      </c>
      <c r="G236" s="8" t="s">
        <v>90</v>
      </c>
      <c r="H236" s="8" t="s">
        <v>73</v>
      </c>
      <c r="I236" s="8" t="s">
        <v>73</v>
      </c>
      <c r="J236" s="8" t="s">
        <v>904</v>
      </c>
      <c r="K236" s="8">
        <v>4</v>
      </c>
      <c r="L236" s="8">
        <v>4</v>
      </c>
      <c r="M236" s="8">
        <v>8</v>
      </c>
      <c r="N236" s="9">
        <v>0</v>
      </c>
      <c r="O236" s="9">
        <v>0</v>
      </c>
      <c r="P236" s="9">
        <v>0</v>
      </c>
      <c r="Q236" s="9">
        <v>0</v>
      </c>
      <c r="R236" s="9">
        <v>0</v>
      </c>
      <c r="S236" s="9"/>
      <c r="T236" s="8"/>
      <c r="U236" s="8"/>
      <c r="V236" s="8"/>
      <c r="W236" s="10">
        <v>12</v>
      </c>
      <c r="X236" s="11" t="s">
        <v>954</v>
      </c>
      <c r="Y236" s="11" t="s">
        <v>951</v>
      </c>
      <c r="Z236" s="11" t="s">
        <v>952</v>
      </c>
    </row>
    <row r="237" ht="409.5" customHeight="1" spans="1:26">
      <c r="A237" s="8" t="s">
        <v>121</v>
      </c>
      <c r="B237" s="8" t="s">
        <v>99</v>
      </c>
      <c r="C237" s="8" t="s">
        <v>964</v>
      </c>
      <c r="D237" s="8" t="s">
        <v>267</v>
      </c>
      <c r="E237" s="8" t="s">
        <v>286</v>
      </c>
      <c r="F237" s="8" t="s">
        <v>287</v>
      </c>
      <c r="G237" s="8" t="s">
        <v>90</v>
      </c>
      <c r="H237" s="8" t="s">
        <v>90</v>
      </c>
      <c r="I237" s="8" t="s">
        <v>90</v>
      </c>
      <c r="J237" s="8" t="s">
        <v>293</v>
      </c>
      <c r="K237" s="8">
        <v>4</v>
      </c>
      <c r="L237" s="8">
        <v>12</v>
      </c>
      <c r="M237" s="8">
        <v>16</v>
      </c>
      <c r="N237" s="9">
        <v>228</v>
      </c>
      <c r="O237" s="9">
        <v>364</v>
      </c>
      <c r="P237" s="9">
        <v>312</v>
      </c>
      <c r="Q237" s="9">
        <v>312</v>
      </c>
      <c r="R237" s="9">
        <v>368</v>
      </c>
      <c r="S237" s="9"/>
      <c r="T237" s="8"/>
      <c r="U237" s="8" t="s">
        <v>454</v>
      </c>
      <c r="V237" s="8" t="s">
        <v>507</v>
      </c>
      <c r="W237" s="10">
        <v>500</v>
      </c>
      <c r="X237" s="11" t="s">
        <v>965</v>
      </c>
      <c r="Y237" s="11" t="s">
        <v>966</v>
      </c>
      <c r="Z237" s="11" t="s">
        <v>967</v>
      </c>
    </row>
    <row r="238" ht="365" customHeight="1" spans="1:26">
      <c r="A238" s="8" t="s">
        <v>121</v>
      </c>
      <c r="B238" s="8" t="s">
        <v>99</v>
      </c>
      <c r="C238" s="8" t="s">
        <v>968</v>
      </c>
      <c r="D238" s="8" t="s">
        <v>267</v>
      </c>
      <c r="E238" s="8" t="s">
        <v>317</v>
      </c>
      <c r="F238" s="8" t="s">
        <v>278</v>
      </c>
      <c r="G238" s="8" t="s">
        <v>90</v>
      </c>
      <c r="H238" s="8" t="s">
        <v>90</v>
      </c>
      <c r="I238" s="8" t="s">
        <v>90</v>
      </c>
      <c r="J238" s="8" t="s">
        <v>279</v>
      </c>
      <c r="K238" s="8">
        <v>0</v>
      </c>
      <c r="L238" s="8">
        <v>8</v>
      </c>
      <c r="M238" s="8">
        <v>8</v>
      </c>
      <c r="N238" s="9">
        <v>8</v>
      </c>
      <c r="O238" s="9">
        <v>16</v>
      </c>
      <c r="P238" s="9">
        <v>8</v>
      </c>
      <c r="Q238" s="9">
        <v>8</v>
      </c>
      <c r="R238" s="9">
        <v>8</v>
      </c>
      <c r="S238" s="9"/>
      <c r="T238" s="8"/>
      <c r="U238" s="8" t="s">
        <v>288</v>
      </c>
      <c r="V238" s="8" t="s">
        <v>280</v>
      </c>
      <c r="W238" s="10">
        <v>30</v>
      </c>
      <c r="X238" s="11" t="s">
        <v>969</v>
      </c>
      <c r="Y238" s="11" t="s">
        <v>970</v>
      </c>
      <c r="Z238" s="11" t="s">
        <v>971</v>
      </c>
    </row>
    <row r="239" ht="274" customHeight="1" spans="1:26">
      <c r="A239" s="8" t="s">
        <v>121</v>
      </c>
      <c r="B239" s="8" t="s">
        <v>99</v>
      </c>
      <c r="C239" s="8" t="s">
        <v>972</v>
      </c>
      <c r="D239" s="8" t="s">
        <v>267</v>
      </c>
      <c r="E239" s="8" t="s">
        <v>268</v>
      </c>
      <c r="F239" s="8" t="s">
        <v>269</v>
      </c>
      <c r="G239" s="8" t="s">
        <v>90</v>
      </c>
      <c r="H239" s="8" t="s">
        <v>73</v>
      </c>
      <c r="I239" s="8" t="s">
        <v>90</v>
      </c>
      <c r="J239" s="8" t="s">
        <v>270</v>
      </c>
      <c r="K239" s="8">
        <v>4</v>
      </c>
      <c r="L239" s="8">
        <v>12</v>
      </c>
      <c r="M239" s="8">
        <v>16</v>
      </c>
      <c r="N239" s="9">
        <v>4</v>
      </c>
      <c r="O239" s="9">
        <v>4</v>
      </c>
      <c r="P239" s="9">
        <v>4</v>
      </c>
      <c r="Q239" s="9">
        <v>4</v>
      </c>
      <c r="R239" s="9">
        <v>8</v>
      </c>
      <c r="S239" s="9"/>
      <c r="T239" s="8"/>
      <c r="U239" s="8" t="s">
        <v>288</v>
      </c>
      <c r="V239" s="8" t="s">
        <v>280</v>
      </c>
      <c r="W239" s="10">
        <v>50</v>
      </c>
      <c r="X239" s="11" t="s">
        <v>973</v>
      </c>
      <c r="Y239" s="11" t="s">
        <v>974</v>
      </c>
      <c r="Z239" s="11" t="s">
        <v>975</v>
      </c>
    </row>
    <row r="240" ht="350" customHeight="1" spans="1:26">
      <c r="A240" s="8" t="s">
        <v>121</v>
      </c>
      <c r="B240" s="8" t="s">
        <v>99</v>
      </c>
      <c r="C240" s="8" t="s">
        <v>976</v>
      </c>
      <c r="D240" s="8" t="s">
        <v>267</v>
      </c>
      <c r="E240" s="8" t="s">
        <v>277</v>
      </c>
      <c r="F240" s="8" t="s">
        <v>278</v>
      </c>
      <c r="G240" s="8" t="s">
        <v>90</v>
      </c>
      <c r="H240" s="8" t="s">
        <v>73</v>
      </c>
      <c r="I240" s="8" t="s">
        <v>90</v>
      </c>
      <c r="J240" s="8" t="s">
        <v>279</v>
      </c>
      <c r="K240" s="8">
        <v>0</v>
      </c>
      <c r="L240" s="8">
        <v>8</v>
      </c>
      <c r="M240" s="8">
        <v>8</v>
      </c>
      <c r="N240" s="9">
        <v>16</v>
      </c>
      <c r="O240" s="9">
        <v>8</v>
      </c>
      <c r="P240" s="9">
        <v>12</v>
      </c>
      <c r="Q240" s="9">
        <v>4</v>
      </c>
      <c r="R240" s="9">
        <v>4</v>
      </c>
      <c r="S240" s="9"/>
      <c r="T240" s="8"/>
      <c r="U240" s="8" t="s">
        <v>288</v>
      </c>
      <c r="V240" s="8" t="s">
        <v>280</v>
      </c>
      <c r="W240" s="10">
        <v>30</v>
      </c>
      <c r="X240" s="11" t="s">
        <v>969</v>
      </c>
      <c r="Y240" s="11" t="s">
        <v>970</v>
      </c>
      <c r="Z240" s="11" t="s">
        <v>977</v>
      </c>
    </row>
    <row r="241" ht="350" customHeight="1" spans="1:26">
      <c r="A241" s="8" t="s">
        <v>121</v>
      </c>
      <c r="B241" s="8" t="s">
        <v>99</v>
      </c>
      <c r="C241" s="8" t="s">
        <v>978</v>
      </c>
      <c r="D241" s="8" t="s">
        <v>285</v>
      </c>
      <c r="E241" s="8" t="s">
        <v>286</v>
      </c>
      <c r="F241" s="8" t="s">
        <v>287</v>
      </c>
      <c r="G241" s="8" t="s">
        <v>90</v>
      </c>
      <c r="H241" s="8" t="s">
        <v>73</v>
      </c>
      <c r="I241" s="8" t="s">
        <v>90</v>
      </c>
      <c r="J241" s="8" t="s">
        <v>279</v>
      </c>
      <c r="K241" s="8">
        <v>0</v>
      </c>
      <c r="L241" s="8">
        <v>8</v>
      </c>
      <c r="M241" s="8">
        <v>8</v>
      </c>
      <c r="N241" s="9">
        <v>0</v>
      </c>
      <c r="O241" s="9">
        <v>0</v>
      </c>
      <c r="P241" s="9">
        <v>0</v>
      </c>
      <c r="Q241" s="9">
        <v>0</v>
      </c>
      <c r="R241" s="9">
        <v>4</v>
      </c>
      <c r="S241" s="9"/>
      <c r="T241" s="8"/>
      <c r="U241" s="8" t="s">
        <v>288</v>
      </c>
      <c r="V241" s="8" t="s">
        <v>280</v>
      </c>
      <c r="W241" s="10">
        <v>30</v>
      </c>
      <c r="X241" s="11" t="s">
        <v>979</v>
      </c>
      <c r="Y241" s="11" t="s">
        <v>980</v>
      </c>
      <c r="Z241" s="11" t="s">
        <v>977</v>
      </c>
    </row>
    <row r="242" ht="350" customHeight="1" spans="1:26">
      <c r="A242" s="8" t="s">
        <v>121</v>
      </c>
      <c r="B242" s="8" t="s">
        <v>99</v>
      </c>
      <c r="C242" s="8" t="s">
        <v>981</v>
      </c>
      <c r="D242" s="8" t="s">
        <v>267</v>
      </c>
      <c r="E242" s="8" t="s">
        <v>277</v>
      </c>
      <c r="F242" s="8" t="s">
        <v>278</v>
      </c>
      <c r="G242" s="8" t="s">
        <v>90</v>
      </c>
      <c r="H242" s="8" t="s">
        <v>73</v>
      </c>
      <c r="I242" s="8" t="s">
        <v>90</v>
      </c>
      <c r="J242" s="8" t="s">
        <v>279</v>
      </c>
      <c r="K242" s="8">
        <v>0</v>
      </c>
      <c r="L242" s="8">
        <v>8</v>
      </c>
      <c r="M242" s="8">
        <v>8</v>
      </c>
      <c r="N242" s="9">
        <v>0</v>
      </c>
      <c r="O242" s="9">
        <v>0</v>
      </c>
      <c r="P242" s="9">
        <v>0</v>
      </c>
      <c r="Q242" s="9">
        <v>4</v>
      </c>
      <c r="R242" s="9">
        <v>0</v>
      </c>
      <c r="S242" s="9"/>
      <c r="T242" s="8"/>
      <c r="U242" s="8" t="s">
        <v>301</v>
      </c>
      <c r="V242" s="8" t="s">
        <v>288</v>
      </c>
      <c r="W242" s="10">
        <v>12</v>
      </c>
      <c r="X242" s="11" t="s">
        <v>982</v>
      </c>
      <c r="Y242" s="11" t="s">
        <v>983</v>
      </c>
      <c r="Z242" s="11" t="s">
        <v>984</v>
      </c>
    </row>
    <row r="243" ht="244" customHeight="1" spans="1:26">
      <c r="A243" s="8" t="s">
        <v>121</v>
      </c>
      <c r="B243" s="8" t="s">
        <v>99</v>
      </c>
      <c r="C243" s="8" t="s">
        <v>985</v>
      </c>
      <c r="D243" s="8" t="s">
        <v>285</v>
      </c>
      <c r="E243" s="8" t="s">
        <v>286</v>
      </c>
      <c r="F243" s="8" t="s">
        <v>287</v>
      </c>
      <c r="G243" s="8" t="s">
        <v>90</v>
      </c>
      <c r="H243" s="8" t="s">
        <v>90</v>
      </c>
      <c r="I243" s="8" t="s">
        <v>90</v>
      </c>
      <c r="J243" s="8" t="s">
        <v>279</v>
      </c>
      <c r="K243" s="8">
        <v>0</v>
      </c>
      <c r="L243" s="8">
        <v>8</v>
      </c>
      <c r="M243" s="8">
        <v>8</v>
      </c>
      <c r="N243" s="9">
        <v>0</v>
      </c>
      <c r="O243" s="9">
        <v>0</v>
      </c>
      <c r="P243" s="9">
        <v>0</v>
      </c>
      <c r="Q243" s="9">
        <v>0</v>
      </c>
      <c r="R243" s="9">
        <v>0</v>
      </c>
      <c r="S243" s="9"/>
      <c r="T243" s="8"/>
      <c r="U243" s="8" t="s">
        <v>301</v>
      </c>
      <c r="V243" s="8" t="s">
        <v>288</v>
      </c>
      <c r="W243" s="10">
        <v>12</v>
      </c>
      <c r="X243" s="11" t="s">
        <v>979</v>
      </c>
      <c r="Y243" s="11" t="s">
        <v>980</v>
      </c>
      <c r="Z243" s="11" t="s">
        <v>977</v>
      </c>
    </row>
    <row r="244" ht="152" customHeight="1" spans="1:26">
      <c r="A244" s="8" t="s">
        <v>121</v>
      </c>
      <c r="B244" s="8" t="s">
        <v>99</v>
      </c>
      <c r="C244" s="8" t="s">
        <v>986</v>
      </c>
      <c r="D244" s="8" t="s">
        <v>267</v>
      </c>
      <c r="E244" s="8" t="s">
        <v>268</v>
      </c>
      <c r="F244" s="8" t="s">
        <v>269</v>
      </c>
      <c r="G244" s="8" t="s">
        <v>90</v>
      </c>
      <c r="H244" s="8" t="s">
        <v>73</v>
      </c>
      <c r="I244" s="8" t="s">
        <v>90</v>
      </c>
      <c r="J244" s="8" t="s">
        <v>270</v>
      </c>
      <c r="K244" s="8">
        <v>4</v>
      </c>
      <c r="L244" s="8">
        <v>4</v>
      </c>
      <c r="M244" s="8">
        <v>8</v>
      </c>
      <c r="N244" s="9">
        <v>20</v>
      </c>
      <c r="O244" s="9">
        <v>0</v>
      </c>
      <c r="P244" s="9">
        <v>0</v>
      </c>
      <c r="Q244" s="9">
        <v>0</v>
      </c>
      <c r="R244" s="9">
        <v>0</v>
      </c>
      <c r="S244" s="9"/>
      <c r="T244" s="8"/>
      <c r="U244" s="8" t="s">
        <v>301</v>
      </c>
      <c r="V244" s="8" t="s">
        <v>288</v>
      </c>
      <c r="W244" s="10">
        <v>30</v>
      </c>
      <c r="X244" s="11" t="s">
        <v>969</v>
      </c>
      <c r="Y244" s="11" t="s">
        <v>970</v>
      </c>
      <c r="Z244" s="11" t="s">
        <v>971</v>
      </c>
    </row>
    <row r="245" ht="152" customHeight="1" spans="1:26">
      <c r="A245" s="8" t="s">
        <v>121</v>
      </c>
      <c r="B245" s="8" t="s">
        <v>99</v>
      </c>
      <c r="C245" s="8" t="s">
        <v>987</v>
      </c>
      <c r="D245" s="8" t="s">
        <v>267</v>
      </c>
      <c r="E245" s="8" t="s">
        <v>277</v>
      </c>
      <c r="F245" s="8" t="s">
        <v>278</v>
      </c>
      <c r="G245" s="8" t="s">
        <v>90</v>
      </c>
      <c r="H245" s="8" t="s">
        <v>73</v>
      </c>
      <c r="I245" s="8" t="s">
        <v>73</v>
      </c>
      <c r="J245" s="8" t="s">
        <v>279</v>
      </c>
      <c r="K245" s="8">
        <v>0</v>
      </c>
      <c r="L245" s="8">
        <v>4</v>
      </c>
      <c r="M245" s="8">
        <v>4</v>
      </c>
      <c r="N245" s="9">
        <v>4</v>
      </c>
      <c r="O245" s="9">
        <v>4</v>
      </c>
      <c r="P245" s="9">
        <v>0</v>
      </c>
      <c r="Q245" s="9">
        <v>0</v>
      </c>
      <c r="R245" s="9">
        <v>0</v>
      </c>
      <c r="S245" s="9"/>
      <c r="T245" s="8"/>
      <c r="U245" s="8" t="s">
        <v>301</v>
      </c>
      <c r="V245" s="8" t="s">
        <v>288</v>
      </c>
      <c r="W245" s="10">
        <v>20</v>
      </c>
      <c r="X245" s="11" t="s">
        <v>988</v>
      </c>
      <c r="Y245" s="11" t="s">
        <v>989</v>
      </c>
      <c r="Z245" s="11" t="s">
        <v>990</v>
      </c>
    </row>
    <row r="246" ht="350" customHeight="1" spans="1:26">
      <c r="A246" s="8" t="s">
        <v>121</v>
      </c>
      <c r="B246" s="8" t="s">
        <v>99</v>
      </c>
      <c r="C246" s="8" t="s">
        <v>991</v>
      </c>
      <c r="D246" s="8" t="s">
        <v>267</v>
      </c>
      <c r="E246" s="8" t="s">
        <v>277</v>
      </c>
      <c r="F246" s="8" t="s">
        <v>278</v>
      </c>
      <c r="G246" s="8" t="s">
        <v>90</v>
      </c>
      <c r="H246" s="8" t="s">
        <v>73</v>
      </c>
      <c r="I246" s="8" t="s">
        <v>73</v>
      </c>
      <c r="J246" s="8" t="s">
        <v>279</v>
      </c>
      <c r="K246" s="8">
        <v>0</v>
      </c>
      <c r="L246" s="8">
        <v>4</v>
      </c>
      <c r="M246" s="8">
        <v>4</v>
      </c>
      <c r="N246" s="9">
        <v>0</v>
      </c>
      <c r="O246" s="9">
        <v>0</v>
      </c>
      <c r="P246" s="9">
        <v>0</v>
      </c>
      <c r="Q246" s="9">
        <v>0</v>
      </c>
      <c r="R246" s="9">
        <v>0</v>
      </c>
      <c r="S246" s="9"/>
      <c r="T246" s="8"/>
      <c r="U246" s="8" t="s">
        <v>301</v>
      </c>
      <c r="V246" s="8" t="s">
        <v>288</v>
      </c>
      <c r="W246" s="10">
        <v>12</v>
      </c>
      <c r="X246" s="11" t="s">
        <v>969</v>
      </c>
      <c r="Y246" s="11" t="s">
        <v>970</v>
      </c>
      <c r="Z246" s="11" t="s">
        <v>977</v>
      </c>
    </row>
    <row r="247" ht="350" customHeight="1" spans="1:26">
      <c r="A247" s="8" t="s">
        <v>121</v>
      </c>
      <c r="B247" s="8" t="s">
        <v>99</v>
      </c>
      <c r="C247" s="8" t="s">
        <v>992</v>
      </c>
      <c r="D247" s="8" t="s">
        <v>267</v>
      </c>
      <c r="E247" s="8" t="s">
        <v>277</v>
      </c>
      <c r="F247" s="8" t="s">
        <v>278</v>
      </c>
      <c r="G247" s="8" t="s">
        <v>90</v>
      </c>
      <c r="H247" s="8" t="s">
        <v>73</v>
      </c>
      <c r="I247" s="8" t="s">
        <v>73</v>
      </c>
      <c r="J247" s="8" t="s">
        <v>279</v>
      </c>
      <c r="K247" s="8">
        <v>0</v>
      </c>
      <c r="L247" s="8">
        <v>4</v>
      </c>
      <c r="M247" s="8">
        <v>4</v>
      </c>
      <c r="N247" s="9">
        <v>0</v>
      </c>
      <c r="O247" s="9">
        <v>0</v>
      </c>
      <c r="P247" s="9">
        <v>0</v>
      </c>
      <c r="Q247" s="9">
        <v>0</v>
      </c>
      <c r="R247" s="9">
        <v>0</v>
      </c>
      <c r="S247" s="9"/>
      <c r="T247" s="8"/>
      <c r="U247" s="8" t="s">
        <v>301</v>
      </c>
      <c r="V247" s="8" t="s">
        <v>288</v>
      </c>
      <c r="W247" s="10">
        <v>12</v>
      </c>
      <c r="X247" s="11" t="s">
        <v>993</v>
      </c>
      <c r="Y247" s="11" t="s">
        <v>994</v>
      </c>
      <c r="Z247" s="11" t="s">
        <v>995</v>
      </c>
    </row>
    <row r="248" ht="350" customHeight="1" spans="1:26">
      <c r="A248" s="8" t="s">
        <v>121</v>
      </c>
      <c r="B248" s="8" t="s">
        <v>99</v>
      </c>
      <c r="C248" s="8" t="s">
        <v>996</v>
      </c>
      <c r="D248" s="8" t="s">
        <v>267</v>
      </c>
      <c r="E248" s="8" t="s">
        <v>277</v>
      </c>
      <c r="F248" s="8" t="s">
        <v>278</v>
      </c>
      <c r="G248" s="8" t="s">
        <v>90</v>
      </c>
      <c r="H248" s="8" t="s">
        <v>73</v>
      </c>
      <c r="I248" s="8" t="s">
        <v>90</v>
      </c>
      <c r="J248" s="8" t="s">
        <v>279</v>
      </c>
      <c r="K248" s="8">
        <v>0</v>
      </c>
      <c r="L248" s="8">
        <v>4</v>
      </c>
      <c r="M248" s="8">
        <v>4</v>
      </c>
      <c r="N248" s="9">
        <v>0</v>
      </c>
      <c r="O248" s="9">
        <v>0</v>
      </c>
      <c r="P248" s="9">
        <v>0</v>
      </c>
      <c r="Q248" s="9">
        <v>0</v>
      </c>
      <c r="R248" s="9">
        <v>0</v>
      </c>
      <c r="S248" s="9"/>
      <c r="T248" s="8"/>
      <c r="U248" s="8" t="s">
        <v>301</v>
      </c>
      <c r="V248" s="8" t="s">
        <v>288</v>
      </c>
      <c r="W248" s="10">
        <v>12</v>
      </c>
      <c r="X248" s="11" t="s">
        <v>997</v>
      </c>
      <c r="Y248" s="11" t="s">
        <v>998</v>
      </c>
      <c r="Z248" s="11" t="s">
        <v>999</v>
      </c>
    </row>
    <row r="249" ht="409.5" customHeight="1" spans="1:26">
      <c r="A249" s="8" t="s">
        <v>121</v>
      </c>
      <c r="B249" s="8" t="s">
        <v>99</v>
      </c>
      <c r="C249" s="8" t="s">
        <v>1000</v>
      </c>
      <c r="D249" s="8" t="s">
        <v>267</v>
      </c>
      <c r="E249" s="8" t="s">
        <v>277</v>
      </c>
      <c r="F249" s="8" t="s">
        <v>278</v>
      </c>
      <c r="G249" s="8" t="s">
        <v>90</v>
      </c>
      <c r="H249" s="8" t="s">
        <v>73</v>
      </c>
      <c r="I249" s="8" t="s">
        <v>73</v>
      </c>
      <c r="J249" s="8" t="s">
        <v>279</v>
      </c>
      <c r="K249" s="8">
        <v>0</v>
      </c>
      <c r="L249" s="8">
        <v>4</v>
      </c>
      <c r="M249" s="8">
        <v>4</v>
      </c>
      <c r="N249" s="9">
        <v>0</v>
      </c>
      <c r="O249" s="9">
        <v>0</v>
      </c>
      <c r="P249" s="9">
        <v>0</v>
      </c>
      <c r="Q249" s="9">
        <v>0</v>
      </c>
      <c r="R249" s="9">
        <v>0</v>
      </c>
      <c r="S249" s="9"/>
      <c r="T249" s="8"/>
      <c r="U249" s="8" t="s">
        <v>301</v>
      </c>
      <c r="V249" s="8" t="s">
        <v>288</v>
      </c>
      <c r="W249" s="10">
        <v>12</v>
      </c>
      <c r="X249" s="11" t="s">
        <v>969</v>
      </c>
      <c r="Y249" s="11" t="s">
        <v>970</v>
      </c>
      <c r="Z249" s="11" t="s">
        <v>977</v>
      </c>
    </row>
    <row r="250" ht="350" customHeight="1" spans="1:26">
      <c r="A250" s="8" t="s">
        <v>186</v>
      </c>
      <c r="B250" s="8" t="s">
        <v>99</v>
      </c>
      <c r="C250" s="8" t="s">
        <v>1001</v>
      </c>
      <c r="D250" s="8" t="s">
        <v>267</v>
      </c>
      <c r="E250" s="8" t="s">
        <v>268</v>
      </c>
      <c r="F250" s="8" t="s">
        <v>269</v>
      </c>
      <c r="G250" s="8" t="s">
        <v>90</v>
      </c>
      <c r="H250" s="8" t="s">
        <v>90</v>
      </c>
      <c r="I250" s="8" t="s">
        <v>90</v>
      </c>
      <c r="J250" s="8" t="s">
        <v>270</v>
      </c>
      <c r="K250" s="8">
        <v>4</v>
      </c>
      <c r="L250" s="8">
        <v>4</v>
      </c>
      <c r="M250" s="8">
        <v>8</v>
      </c>
      <c r="N250" s="9">
        <v>28</v>
      </c>
      <c r="O250" s="9">
        <v>40</v>
      </c>
      <c r="P250" s="9">
        <v>68</v>
      </c>
      <c r="Q250" s="9">
        <v>8</v>
      </c>
      <c r="R250" s="9">
        <v>40</v>
      </c>
      <c r="S250" s="9"/>
      <c r="T250" s="8"/>
      <c r="U250" s="8" t="s">
        <v>280</v>
      </c>
      <c r="V250" s="8" t="s">
        <v>280</v>
      </c>
      <c r="W250" s="10">
        <v>70</v>
      </c>
      <c r="X250" s="11" t="s">
        <v>1002</v>
      </c>
      <c r="Y250" s="11" t="s">
        <v>1003</v>
      </c>
      <c r="Z250" s="11" t="s">
        <v>1004</v>
      </c>
    </row>
    <row r="251" ht="152" customHeight="1" spans="1:26">
      <c r="A251" s="8" t="s">
        <v>186</v>
      </c>
      <c r="B251" s="8" t="s">
        <v>99</v>
      </c>
      <c r="C251" s="8" t="s">
        <v>1005</v>
      </c>
      <c r="D251" s="8" t="s">
        <v>285</v>
      </c>
      <c r="E251" s="8" t="s">
        <v>286</v>
      </c>
      <c r="F251" s="8" t="s">
        <v>287</v>
      </c>
      <c r="G251" s="8" t="s">
        <v>90</v>
      </c>
      <c r="H251" s="8" t="s">
        <v>90</v>
      </c>
      <c r="I251" s="8" t="s">
        <v>90</v>
      </c>
      <c r="J251" s="8" t="s">
        <v>293</v>
      </c>
      <c r="K251" s="8">
        <v>8</v>
      </c>
      <c r="L251" s="8">
        <v>8</v>
      </c>
      <c r="M251" s="8">
        <v>16</v>
      </c>
      <c r="N251" s="9">
        <v>0</v>
      </c>
      <c r="O251" s="9">
        <v>0</v>
      </c>
      <c r="P251" s="9">
        <v>0</v>
      </c>
      <c r="Q251" s="9">
        <v>0</v>
      </c>
      <c r="R251" s="9">
        <v>36</v>
      </c>
      <c r="S251" s="9"/>
      <c r="T251" s="8"/>
      <c r="U251" s="8" t="s">
        <v>280</v>
      </c>
      <c r="V251" s="8" t="s">
        <v>271</v>
      </c>
      <c r="W251" s="10">
        <v>70</v>
      </c>
      <c r="X251" s="11" t="s">
        <v>1006</v>
      </c>
      <c r="Y251" s="11" t="s">
        <v>1007</v>
      </c>
      <c r="Z251" s="11" t="s">
        <v>1008</v>
      </c>
    </row>
    <row r="252" ht="84" customHeight="1" spans="1:26">
      <c r="A252" s="8" t="s">
        <v>186</v>
      </c>
      <c r="B252" s="8" t="s">
        <v>99</v>
      </c>
      <c r="C252" s="8" t="s">
        <v>1009</v>
      </c>
      <c r="D252" s="8" t="s">
        <v>267</v>
      </c>
      <c r="E252" s="8" t="s">
        <v>277</v>
      </c>
      <c r="F252" s="8" t="s">
        <v>278</v>
      </c>
      <c r="G252" s="8" t="s">
        <v>90</v>
      </c>
      <c r="H252" s="8" t="s">
        <v>73</v>
      </c>
      <c r="I252" s="8" t="s">
        <v>90</v>
      </c>
      <c r="J252" s="8" t="s">
        <v>279</v>
      </c>
      <c r="K252" s="8">
        <v>0</v>
      </c>
      <c r="L252" s="8">
        <v>24</v>
      </c>
      <c r="M252" s="8">
        <v>24</v>
      </c>
      <c r="N252" s="9">
        <v>0</v>
      </c>
      <c r="O252" s="9">
        <v>0</v>
      </c>
      <c r="P252" s="9">
        <v>0</v>
      </c>
      <c r="Q252" s="9">
        <v>4</v>
      </c>
      <c r="R252" s="9">
        <v>24</v>
      </c>
      <c r="S252" s="9"/>
      <c r="T252" s="8"/>
      <c r="U252" s="8" t="s">
        <v>288</v>
      </c>
      <c r="V252" s="8" t="s">
        <v>280</v>
      </c>
      <c r="W252" s="10">
        <v>30</v>
      </c>
      <c r="X252" s="11" t="s">
        <v>1010</v>
      </c>
      <c r="Y252" s="11" t="s">
        <v>1011</v>
      </c>
      <c r="Z252" s="11" t="s">
        <v>1012</v>
      </c>
    </row>
    <row r="253" ht="73" customHeight="1" spans="1:26">
      <c r="A253" s="8" t="s">
        <v>186</v>
      </c>
      <c r="B253" s="8" t="s">
        <v>99</v>
      </c>
      <c r="C253" s="8" t="s">
        <v>1013</v>
      </c>
      <c r="D253" s="8" t="s">
        <v>267</v>
      </c>
      <c r="E253" s="8" t="s">
        <v>277</v>
      </c>
      <c r="F253" s="8" t="s">
        <v>278</v>
      </c>
      <c r="G253" s="8" t="s">
        <v>90</v>
      </c>
      <c r="H253" s="8" t="s">
        <v>90</v>
      </c>
      <c r="I253" s="8" t="s">
        <v>90</v>
      </c>
      <c r="J253" s="8" t="s">
        <v>279</v>
      </c>
      <c r="K253" s="8">
        <v>0</v>
      </c>
      <c r="L253" s="8">
        <v>24</v>
      </c>
      <c r="M253" s="8">
        <v>24</v>
      </c>
      <c r="N253" s="9">
        <v>4</v>
      </c>
      <c r="O253" s="9">
        <v>12</v>
      </c>
      <c r="P253" s="9">
        <v>0</v>
      </c>
      <c r="Q253" s="9">
        <v>12</v>
      </c>
      <c r="R253" s="9">
        <v>20</v>
      </c>
      <c r="S253" s="9"/>
      <c r="T253" s="8"/>
      <c r="U253" s="8" t="s">
        <v>288</v>
      </c>
      <c r="V253" s="8" t="s">
        <v>280</v>
      </c>
      <c r="W253" s="10">
        <v>30</v>
      </c>
      <c r="X253" s="11" t="s">
        <v>1014</v>
      </c>
      <c r="Y253" s="11" t="s">
        <v>1015</v>
      </c>
      <c r="Z253" s="11" t="s">
        <v>1016</v>
      </c>
    </row>
    <row r="254" ht="57" customHeight="1" spans="1:26">
      <c r="A254" s="8" t="s">
        <v>186</v>
      </c>
      <c r="B254" s="8" t="s">
        <v>99</v>
      </c>
      <c r="C254" s="8" t="s">
        <v>1017</v>
      </c>
      <c r="D254" s="8" t="s">
        <v>267</v>
      </c>
      <c r="E254" s="8" t="s">
        <v>277</v>
      </c>
      <c r="F254" s="8" t="s">
        <v>278</v>
      </c>
      <c r="G254" s="8" t="s">
        <v>90</v>
      </c>
      <c r="H254" s="8" t="s">
        <v>90</v>
      </c>
      <c r="I254" s="8" t="s">
        <v>90</v>
      </c>
      <c r="J254" s="8" t="s">
        <v>279</v>
      </c>
      <c r="K254" s="8">
        <v>0</v>
      </c>
      <c r="L254" s="8">
        <v>24</v>
      </c>
      <c r="M254" s="8">
        <v>24</v>
      </c>
      <c r="N254" s="9">
        <v>12</v>
      </c>
      <c r="O254" s="9">
        <v>8</v>
      </c>
      <c r="P254" s="9">
        <v>12</v>
      </c>
      <c r="Q254" s="9">
        <v>20</v>
      </c>
      <c r="R254" s="9">
        <v>16</v>
      </c>
      <c r="S254" s="9"/>
      <c r="T254" s="8"/>
      <c r="U254" s="8" t="s">
        <v>288</v>
      </c>
      <c r="V254" s="8" t="s">
        <v>280</v>
      </c>
      <c r="W254" s="10">
        <v>30</v>
      </c>
      <c r="X254" s="11" t="s">
        <v>1018</v>
      </c>
      <c r="Y254" s="11" t="s">
        <v>1019</v>
      </c>
      <c r="Z254" s="11" t="s">
        <v>1016</v>
      </c>
    </row>
    <row r="255" ht="74" customHeight="1" spans="1:26">
      <c r="A255" s="8" t="s">
        <v>186</v>
      </c>
      <c r="B255" s="8" t="s">
        <v>99</v>
      </c>
      <c r="C255" s="8" t="s">
        <v>1020</v>
      </c>
      <c r="D255" s="8" t="s">
        <v>267</v>
      </c>
      <c r="E255" s="8" t="s">
        <v>277</v>
      </c>
      <c r="F255" s="8" t="s">
        <v>278</v>
      </c>
      <c r="G255" s="8" t="s">
        <v>90</v>
      </c>
      <c r="H255" s="8" t="s">
        <v>73</v>
      </c>
      <c r="I255" s="8" t="s">
        <v>90</v>
      </c>
      <c r="J255" s="8" t="s">
        <v>279</v>
      </c>
      <c r="K255" s="8">
        <v>0</v>
      </c>
      <c r="L255" s="8">
        <v>24</v>
      </c>
      <c r="M255" s="8">
        <v>24</v>
      </c>
      <c r="N255" s="9">
        <v>0</v>
      </c>
      <c r="O255" s="9">
        <v>0</v>
      </c>
      <c r="P255" s="9">
        <v>0</v>
      </c>
      <c r="Q255" s="9">
        <v>12</v>
      </c>
      <c r="R255" s="9">
        <v>8</v>
      </c>
      <c r="S255" s="9"/>
      <c r="T255" s="8"/>
      <c r="U255" s="8" t="s">
        <v>288</v>
      </c>
      <c r="V255" s="8" t="s">
        <v>280</v>
      </c>
      <c r="W255" s="10">
        <v>30</v>
      </c>
      <c r="X255" s="11" t="s">
        <v>1021</v>
      </c>
      <c r="Y255" s="11" t="s">
        <v>1022</v>
      </c>
      <c r="Z255" s="11" t="s">
        <v>1016</v>
      </c>
    </row>
    <row r="256" ht="65" customHeight="1" spans="1:26">
      <c r="A256" s="8" t="s">
        <v>186</v>
      </c>
      <c r="B256" s="8" t="s">
        <v>99</v>
      </c>
      <c r="C256" s="8" t="s">
        <v>1023</v>
      </c>
      <c r="D256" s="8" t="s">
        <v>267</v>
      </c>
      <c r="E256" s="8" t="s">
        <v>317</v>
      </c>
      <c r="F256" s="8" t="s">
        <v>278</v>
      </c>
      <c r="G256" s="8" t="s">
        <v>90</v>
      </c>
      <c r="H256" s="8" t="s">
        <v>73</v>
      </c>
      <c r="I256" s="8" t="s">
        <v>90</v>
      </c>
      <c r="J256" s="8" t="s">
        <v>279</v>
      </c>
      <c r="K256" s="8">
        <v>0</v>
      </c>
      <c r="L256" s="8">
        <v>8</v>
      </c>
      <c r="M256" s="8">
        <v>8</v>
      </c>
      <c r="N256" s="9">
        <v>8</v>
      </c>
      <c r="O256" s="9">
        <v>0</v>
      </c>
      <c r="P256" s="9">
        <v>4</v>
      </c>
      <c r="Q256" s="9">
        <v>8</v>
      </c>
      <c r="R256" s="9">
        <v>4</v>
      </c>
      <c r="S256" s="9"/>
      <c r="T256" s="8"/>
      <c r="U256" s="8" t="s">
        <v>288</v>
      </c>
      <c r="V256" s="8" t="s">
        <v>288</v>
      </c>
      <c r="W256" s="10">
        <v>20</v>
      </c>
      <c r="X256" s="11" t="s">
        <v>1024</v>
      </c>
      <c r="Y256" s="11" t="s">
        <v>1025</v>
      </c>
      <c r="Z256" s="11" t="s">
        <v>744</v>
      </c>
    </row>
    <row r="257" ht="57" customHeight="1" spans="1:26">
      <c r="A257" s="8" t="s">
        <v>186</v>
      </c>
      <c r="B257" s="8" t="s">
        <v>99</v>
      </c>
      <c r="C257" s="8" t="s">
        <v>1026</v>
      </c>
      <c r="D257" s="8" t="s">
        <v>607</v>
      </c>
      <c r="E257" s="8" t="s">
        <v>441</v>
      </c>
      <c r="F257" s="8" t="s">
        <v>338</v>
      </c>
      <c r="G257" s="8" t="s">
        <v>73</v>
      </c>
      <c r="H257" s="8" t="s">
        <v>73</v>
      </c>
      <c r="I257" s="8" t="s">
        <v>73</v>
      </c>
      <c r="J257" s="8" t="s">
        <v>279</v>
      </c>
      <c r="K257" s="8">
        <v>0</v>
      </c>
      <c r="L257" s="8">
        <v>32</v>
      </c>
      <c r="M257" s="8">
        <v>32</v>
      </c>
      <c r="N257" s="9">
        <v>0</v>
      </c>
      <c r="O257" s="9">
        <v>0</v>
      </c>
      <c r="P257" s="9">
        <v>0</v>
      </c>
      <c r="Q257" s="9">
        <v>0</v>
      </c>
      <c r="R257" s="9">
        <v>4</v>
      </c>
      <c r="S257" s="9"/>
      <c r="T257" s="8"/>
      <c r="U257" s="8" t="s">
        <v>288</v>
      </c>
      <c r="V257" s="8" t="s">
        <v>288</v>
      </c>
      <c r="W257" s="10">
        <v>20</v>
      </c>
      <c r="X257" s="11" t="s">
        <v>1027</v>
      </c>
      <c r="Y257" s="11" t="s">
        <v>1028</v>
      </c>
      <c r="Z257" s="11" t="s">
        <v>1029</v>
      </c>
    </row>
    <row r="258" ht="50" customHeight="1" spans="1:26">
      <c r="A258" s="8" t="s">
        <v>186</v>
      </c>
      <c r="B258" s="8" t="s">
        <v>99</v>
      </c>
      <c r="C258" s="8" t="s">
        <v>1030</v>
      </c>
      <c r="D258" s="8" t="s">
        <v>267</v>
      </c>
      <c r="E258" s="8" t="s">
        <v>277</v>
      </c>
      <c r="F258" s="8" t="s">
        <v>278</v>
      </c>
      <c r="G258" s="8" t="s">
        <v>90</v>
      </c>
      <c r="H258" s="8" t="s">
        <v>73</v>
      </c>
      <c r="I258" s="8" t="s">
        <v>90</v>
      </c>
      <c r="J258" s="8" t="s">
        <v>279</v>
      </c>
      <c r="K258" s="8">
        <v>0</v>
      </c>
      <c r="L258" s="8">
        <v>24</v>
      </c>
      <c r="M258" s="8">
        <v>24</v>
      </c>
      <c r="N258" s="9">
        <v>0</v>
      </c>
      <c r="O258" s="9">
        <v>0</v>
      </c>
      <c r="P258" s="9">
        <v>0</v>
      </c>
      <c r="Q258" s="9">
        <v>0</v>
      </c>
      <c r="R258" s="9">
        <v>0</v>
      </c>
      <c r="S258" s="9"/>
      <c r="T258" s="8"/>
      <c r="U258" s="8" t="s">
        <v>301</v>
      </c>
      <c r="V258" s="8" t="s">
        <v>301</v>
      </c>
      <c r="W258" s="10">
        <v>20</v>
      </c>
      <c r="X258" s="11" t="s">
        <v>1031</v>
      </c>
      <c r="Y258" s="11" t="s">
        <v>1032</v>
      </c>
      <c r="Z258" s="11" t="s">
        <v>744</v>
      </c>
    </row>
    <row r="259" ht="74" customHeight="1" spans="1:26">
      <c r="A259" s="8" t="s">
        <v>186</v>
      </c>
      <c r="B259" s="8" t="s">
        <v>99</v>
      </c>
      <c r="C259" s="8" t="s">
        <v>1033</v>
      </c>
      <c r="D259" s="8" t="s">
        <v>267</v>
      </c>
      <c r="E259" s="8" t="s">
        <v>277</v>
      </c>
      <c r="F259" s="8" t="s">
        <v>278</v>
      </c>
      <c r="G259" s="8" t="s">
        <v>90</v>
      </c>
      <c r="H259" s="8" t="s">
        <v>73</v>
      </c>
      <c r="I259" s="8" t="s">
        <v>90</v>
      </c>
      <c r="J259" s="8" t="s">
        <v>279</v>
      </c>
      <c r="K259" s="8">
        <v>0</v>
      </c>
      <c r="L259" s="8">
        <v>24</v>
      </c>
      <c r="M259" s="8">
        <v>24</v>
      </c>
      <c r="N259" s="9">
        <v>0</v>
      </c>
      <c r="O259" s="9">
        <v>0</v>
      </c>
      <c r="P259" s="9">
        <v>0</v>
      </c>
      <c r="Q259" s="9">
        <v>0</v>
      </c>
      <c r="R259" s="9">
        <v>0</v>
      </c>
      <c r="S259" s="9"/>
      <c r="T259" s="8"/>
      <c r="U259" s="8" t="s">
        <v>301</v>
      </c>
      <c r="V259" s="8" t="s">
        <v>301</v>
      </c>
      <c r="W259" s="10">
        <v>0</v>
      </c>
      <c r="X259" s="11" t="s">
        <v>1034</v>
      </c>
      <c r="Y259" s="11" t="s">
        <v>1035</v>
      </c>
      <c r="Z259" s="11" t="s">
        <v>744</v>
      </c>
    </row>
    <row r="260" ht="62" customHeight="1" spans="1:26">
      <c r="A260" s="8" t="s">
        <v>186</v>
      </c>
      <c r="B260" s="8" t="s">
        <v>99</v>
      </c>
      <c r="C260" s="8" t="s">
        <v>1036</v>
      </c>
      <c r="D260" s="8" t="s">
        <v>285</v>
      </c>
      <c r="E260" s="8" t="s">
        <v>286</v>
      </c>
      <c r="F260" s="8" t="s">
        <v>287</v>
      </c>
      <c r="G260" s="8" t="s">
        <v>90</v>
      </c>
      <c r="H260" s="8" t="s">
        <v>73</v>
      </c>
      <c r="I260" s="8" t="s">
        <v>90</v>
      </c>
      <c r="J260" s="8" t="s">
        <v>279</v>
      </c>
      <c r="K260" s="8">
        <v>0</v>
      </c>
      <c r="L260" s="8">
        <v>16</v>
      </c>
      <c r="M260" s="8">
        <v>16</v>
      </c>
      <c r="N260" s="9">
        <v>0</v>
      </c>
      <c r="O260" s="9">
        <v>0</v>
      </c>
      <c r="P260" s="9">
        <v>0</v>
      </c>
      <c r="Q260" s="9">
        <v>0</v>
      </c>
      <c r="R260" s="9">
        <v>0</v>
      </c>
      <c r="S260" s="9"/>
      <c r="T260" s="8"/>
      <c r="U260" s="8" t="s">
        <v>301</v>
      </c>
      <c r="V260" s="8" t="s">
        <v>301</v>
      </c>
      <c r="W260" s="10">
        <v>0</v>
      </c>
      <c r="X260" s="11" t="s">
        <v>1037</v>
      </c>
      <c r="Y260" s="11" t="s">
        <v>1038</v>
      </c>
      <c r="Z260" s="11" t="s">
        <v>1039</v>
      </c>
    </row>
    <row r="261" ht="41" customHeight="1" spans="1:26">
      <c r="A261" s="8" t="s">
        <v>186</v>
      </c>
      <c r="B261" s="8" t="s">
        <v>99</v>
      </c>
      <c r="C261" s="8" t="s">
        <v>1040</v>
      </c>
      <c r="D261" s="8" t="s">
        <v>285</v>
      </c>
      <c r="E261" s="8" t="s">
        <v>286</v>
      </c>
      <c r="F261" s="8" t="s">
        <v>287</v>
      </c>
      <c r="G261" s="8" t="s">
        <v>90</v>
      </c>
      <c r="H261" s="8" t="s">
        <v>73</v>
      </c>
      <c r="I261" s="8" t="s">
        <v>90</v>
      </c>
      <c r="J261" s="8" t="s">
        <v>293</v>
      </c>
      <c r="K261" s="8">
        <v>4</v>
      </c>
      <c r="L261" s="8">
        <v>16</v>
      </c>
      <c r="M261" s="8">
        <v>16</v>
      </c>
      <c r="N261" s="9">
        <v>0</v>
      </c>
      <c r="O261" s="9">
        <v>0</v>
      </c>
      <c r="P261" s="9">
        <v>0</v>
      </c>
      <c r="Q261" s="9">
        <v>0</v>
      </c>
      <c r="R261" s="9">
        <v>0</v>
      </c>
      <c r="S261" s="9"/>
      <c r="T261" s="8"/>
      <c r="U261" s="8" t="s">
        <v>301</v>
      </c>
      <c r="V261" s="8" t="s">
        <v>301</v>
      </c>
      <c r="W261" s="10">
        <v>20</v>
      </c>
      <c r="X261" s="11" t="s">
        <v>1041</v>
      </c>
      <c r="Y261" s="11" t="s">
        <v>1042</v>
      </c>
      <c r="Z261" s="11"/>
    </row>
    <row r="262" ht="79" customHeight="1" spans="1:26">
      <c r="A262" s="8" t="s">
        <v>186</v>
      </c>
      <c r="B262" s="8" t="s">
        <v>99</v>
      </c>
      <c r="C262" s="8" t="s">
        <v>1043</v>
      </c>
      <c r="D262" s="8" t="s">
        <v>285</v>
      </c>
      <c r="E262" s="8" t="s">
        <v>286</v>
      </c>
      <c r="F262" s="8" t="s">
        <v>287</v>
      </c>
      <c r="G262" s="8" t="s">
        <v>90</v>
      </c>
      <c r="H262" s="8" t="s">
        <v>73</v>
      </c>
      <c r="I262" s="8" t="s">
        <v>90</v>
      </c>
      <c r="J262" s="8" t="s">
        <v>279</v>
      </c>
      <c r="K262" s="8">
        <v>0</v>
      </c>
      <c r="L262" s="8">
        <v>16</v>
      </c>
      <c r="M262" s="8">
        <v>16</v>
      </c>
      <c r="N262" s="9">
        <v>0</v>
      </c>
      <c r="O262" s="9">
        <v>0</v>
      </c>
      <c r="P262" s="9">
        <v>0</v>
      </c>
      <c r="Q262" s="9">
        <v>0</v>
      </c>
      <c r="R262" s="9">
        <v>0</v>
      </c>
      <c r="S262" s="9"/>
      <c r="T262" s="8"/>
      <c r="U262" s="8" t="s">
        <v>301</v>
      </c>
      <c r="V262" s="8" t="s">
        <v>301</v>
      </c>
      <c r="W262" s="10">
        <v>20</v>
      </c>
      <c r="X262" s="11" t="s">
        <v>1044</v>
      </c>
      <c r="Y262" s="11" t="s">
        <v>1045</v>
      </c>
      <c r="Z262" s="11" t="s">
        <v>1046</v>
      </c>
    </row>
    <row r="263" ht="32" customHeight="1" spans="1:26">
      <c r="A263" s="8" t="s">
        <v>186</v>
      </c>
      <c r="B263" s="8" t="s">
        <v>99</v>
      </c>
      <c r="C263" s="8" t="s">
        <v>1047</v>
      </c>
      <c r="D263" s="8" t="s">
        <v>267</v>
      </c>
      <c r="E263" s="8" t="s">
        <v>286</v>
      </c>
      <c r="F263" s="8" t="s">
        <v>287</v>
      </c>
      <c r="G263" s="8" t="s">
        <v>90</v>
      </c>
      <c r="H263" s="8" t="s">
        <v>73</v>
      </c>
      <c r="I263" s="8" t="s">
        <v>90</v>
      </c>
      <c r="J263" s="8" t="s">
        <v>279</v>
      </c>
      <c r="K263" s="8">
        <v>0</v>
      </c>
      <c r="L263" s="8">
        <v>16</v>
      </c>
      <c r="M263" s="8">
        <v>16</v>
      </c>
      <c r="N263" s="9">
        <v>0</v>
      </c>
      <c r="O263" s="9">
        <v>0</v>
      </c>
      <c r="P263" s="9">
        <v>0</v>
      </c>
      <c r="Q263" s="9">
        <v>0</v>
      </c>
      <c r="R263" s="9">
        <v>0</v>
      </c>
      <c r="S263" s="9"/>
      <c r="T263" s="8"/>
      <c r="U263" s="8" t="s">
        <v>301</v>
      </c>
      <c r="V263" s="8" t="s">
        <v>301</v>
      </c>
      <c r="W263" s="10">
        <v>20</v>
      </c>
      <c r="X263" s="11" t="s">
        <v>1048</v>
      </c>
      <c r="Y263" s="11" t="s">
        <v>1049</v>
      </c>
      <c r="Z263" s="11" t="s">
        <v>744</v>
      </c>
    </row>
    <row r="264" ht="17" customHeight="1" spans="1:26">
      <c r="A264" s="8" t="s">
        <v>186</v>
      </c>
      <c r="B264" s="8" t="s">
        <v>99</v>
      </c>
      <c r="C264" s="8" t="s">
        <v>1050</v>
      </c>
      <c r="D264" s="8" t="s">
        <v>607</v>
      </c>
      <c r="E264" s="8" t="s">
        <v>441</v>
      </c>
      <c r="F264" s="8" t="s">
        <v>338</v>
      </c>
      <c r="G264" s="8" t="s">
        <v>90</v>
      </c>
      <c r="H264" s="8" t="s">
        <v>73</v>
      </c>
      <c r="I264" s="8" t="s">
        <v>73</v>
      </c>
      <c r="J264" s="8" t="s">
        <v>279</v>
      </c>
      <c r="K264" s="8">
        <v>0</v>
      </c>
      <c r="L264" s="8">
        <v>16</v>
      </c>
      <c r="M264" s="8">
        <v>16</v>
      </c>
      <c r="N264" s="9">
        <v>0</v>
      </c>
      <c r="O264" s="9">
        <v>0</v>
      </c>
      <c r="P264" s="9">
        <v>0</v>
      </c>
      <c r="Q264" s="9">
        <v>0</v>
      </c>
      <c r="R264" s="9">
        <v>0</v>
      </c>
      <c r="S264" s="9"/>
      <c r="T264" s="8"/>
      <c r="U264" s="8" t="s">
        <v>301</v>
      </c>
      <c r="V264" s="8" t="s">
        <v>301</v>
      </c>
      <c r="W264" s="10">
        <v>20</v>
      </c>
      <c r="X264" s="11" t="s">
        <v>1051</v>
      </c>
      <c r="Y264" s="11" t="s">
        <v>1052</v>
      </c>
      <c r="Z264" s="11" t="s">
        <v>744</v>
      </c>
    </row>
    <row r="265" ht="174" customHeight="1" spans="1:26">
      <c r="A265" s="8" t="s">
        <v>186</v>
      </c>
      <c r="B265" s="8" t="s">
        <v>99</v>
      </c>
      <c r="C265" s="8" t="s">
        <v>1053</v>
      </c>
      <c r="D265" s="8" t="s">
        <v>267</v>
      </c>
      <c r="E265" s="8" t="s">
        <v>277</v>
      </c>
      <c r="F265" s="8" t="s">
        <v>278</v>
      </c>
      <c r="G265" s="8" t="s">
        <v>73</v>
      </c>
      <c r="H265" s="8" t="s">
        <v>73</v>
      </c>
      <c r="I265" s="8" t="s">
        <v>90</v>
      </c>
      <c r="J265" s="8" t="s">
        <v>279</v>
      </c>
      <c r="K265" s="8">
        <v>0</v>
      </c>
      <c r="L265" s="8">
        <v>8</v>
      </c>
      <c r="M265" s="8">
        <v>8</v>
      </c>
      <c r="N265" s="9">
        <v>0</v>
      </c>
      <c r="O265" s="9">
        <v>0</v>
      </c>
      <c r="P265" s="9">
        <v>0</v>
      </c>
      <c r="Q265" s="9">
        <v>0</v>
      </c>
      <c r="R265" s="9">
        <v>0</v>
      </c>
      <c r="S265" s="9"/>
      <c r="T265" s="8"/>
      <c r="U265" s="8" t="s">
        <v>301</v>
      </c>
      <c r="V265" s="8" t="s">
        <v>301</v>
      </c>
      <c r="W265" s="10">
        <v>0</v>
      </c>
      <c r="X265" s="11" t="s">
        <v>1054</v>
      </c>
      <c r="Y265" s="11" t="s">
        <v>1055</v>
      </c>
      <c r="Z265" s="11" t="s">
        <v>744</v>
      </c>
    </row>
    <row r="266" ht="174" customHeight="1" spans="1:26">
      <c r="A266" s="8" t="s">
        <v>186</v>
      </c>
      <c r="B266" s="8" t="s">
        <v>99</v>
      </c>
      <c r="C266" s="8" t="s">
        <v>1056</v>
      </c>
      <c r="D266" s="8" t="s">
        <v>267</v>
      </c>
      <c r="E266" s="8" t="s">
        <v>277</v>
      </c>
      <c r="F266" s="8" t="s">
        <v>278</v>
      </c>
      <c r="G266" s="8" t="s">
        <v>90</v>
      </c>
      <c r="H266" s="8" t="s">
        <v>73</v>
      </c>
      <c r="I266" s="8" t="s">
        <v>90</v>
      </c>
      <c r="J266" s="8" t="s">
        <v>279</v>
      </c>
      <c r="K266" s="8">
        <v>0</v>
      </c>
      <c r="L266" s="8">
        <v>16</v>
      </c>
      <c r="M266" s="8">
        <v>16</v>
      </c>
      <c r="N266" s="9">
        <v>0</v>
      </c>
      <c r="O266" s="9">
        <v>0</v>
      </c>
      <c r="P266" s="9">
        <v>0</v>
      </c>
      <c r="Q266" s="9">
        <v>0</v>
      </c>
      <c r="R266" s="9">
        <v>0</v>
      </c>
      <c r="S266" s="9"/>
      <c r="T266" s="8"/>
      <c r="U266" s="8" t="s">
        <v>301</v>
      </c>
      <c r="V266" s="8" t="s">
        <v>301</v>
      </c>
      <c r="W266" s="10">
        <v>0</v>
      </c>
      <c r="X266" s="11" t="s">
        <v>1057</v>
      </c>
      <c r="Y266" s="11" t="s">
        <v>1058</v>
      </c>
      <c r="Z266" s="11" t="s">
        <v>744</v>
      </c>
    </row>
    <row r="267" ht="145" customHeight="1" spans="1:26">
      <c r="A267" s="15" t="s">
        <v>242</v>
      </c>
      <c r="B267" s="15" t="s">
        <v>99</v>
      </c>
      <c r="C267" s="15" t="s">
        <v>1059</v>
      </c>
      <c r="D267" s="15" t="s">
        <v>607</v>
      </c>
      <c r="E267" s="15" t="s">
        <v>441</v>
      </c>
      <c r="F267" s="15" t="s">
        <v>338</v>
      </c>
      <c r="G267" s="15" t="s">
        <v>90</v>
      </c>
      <c r="H267" s="15" t="s">
        <v>90</v>
      </c>
      <c r="I267" s="15" t="s">
        <v>73</v>
      </c>
      <c r="J267" s="15" t="s">
        <v>279</v>
      </c>
      <c r="K267" s="15">
        <v>0</v>
      </c>
      <c r="L267" s="15">
        <v>16</v>
      </c>
      <c r="M267" s="15">
        <v>16</v>
      </c>
      <c r="N267" s="16">
        <v>40</v>
      </c>
      <c r="O267" s="16">
        <v>56</v>
      </c>
      <c r="P267" s="16">
        <v>40</v>
      </c>
      <c r="Q267" s="16">
        <v>28</v>
      </c>
      <c r="R267" s="16">
        <v>56</v>
      </c>
      <c r="S267" s="16"/>
      <c r="T267" s="15"/>
      <c r="U267" s="15" t="s">
        <v>280</v>
      </c>
      <c r="V267" s="15" t="s">
        <v>280</v>
      </c>
      <c r="W267" s="16">
        <v>70</v>
      </c>
      <c r="X267" s="17" t="s">
        <v>1060</v>
      </c>
      <c r="Y267" s="17" t="s">
        <v>1061</v>
      </c>
      <c r="Z267" s="17" t="s">
        <v>1062</v>
      </c>
    </row>
    <row r="268" ht="130.5" customHeight="1" spans="1:26">
      <c r="A268" s="15" t="s">
        <v>242</v>
      </c>
      <c r="B268" s="15" t="s">
        <v>99</v>
      </c>
      <c r="C268" s="15" t="s">
        <v>1063</v>
      </c>
      <c r="D268" s="15" t="s">
        <v>607</v>
      </c>
      <c r="E268" s="15" t="s">
        <v>441</v>
      </c>
      <c r="F268" s="15" t="s">
        <v>338</v>
      </c>
      <c r="G268" s="15" t="s">
        <v>90</v>
      </c>
      <c r="H268" s="15" t="s">
        <v>90</v>
      </c>
      <c r="I268" s="15" t="s">
        <v>73</v>
      </c>
      <c r="J268" s="15" t="s">
        <v>270</v>
      </c>
      <c r="K268" s="15">
        <v>4</v>
      </c>
      <c r="L268" s="15">
        <v>24</v>
      </c>
      <c r="M268" s="15">
        <v>28</v>
      </c>
      <c r="N268" s="16">
        <v>0</v>
      </c>
      <c r="O268" s="16">
        <v>12</v>
      </c>
      <c r="P268" s="16">
        <v>8</v>
      </c>
      <c r="Q268" s="16">
        <v>12</v>
      </c>
      <c r="R268" s="16">
        <v>12</v>
      </c>
      <c r="S268" s="16"/>
      <c r="T268" s="15"/>
      <c r="U268" s="15" t="s">
        <v>288</v>
      </c>
      <c r="V268" s="15" t="s">
        <v>280</v>
      </c>
      <c r="W268" s="16">
        <v>70</v>
      </c>
      <c r="X268" s="17" t="s">
        <v>1064</v>
      </c>
      <c r="Y268" s="17" t="s">
        <v>1065</v>
      </c>
      <c r="Z268" s="17" t="s">
        <v>1066</v>
      </c>
    </row>
    <row r="269" ht="174" customHeight="1" spans="1:26">
      <c r="A269" s="15" t="s">
        <v>242</v>
      </c>
      <c r="B269" s="15" t="s">
        <v>99</v>
      </c>
      <c r="C269" s="15" t="s">
        <v>1067</v>
      </c>
      <c r="D269" s="15" t="s">
        <v>607</v>
      </c>
      <c r="E269" s="15" t="s">
        <v>441</v>
      </c>
      <c r="F269" s="15" t="s">
        <v>338</v>
      </c>
      <c r="G269" s="15" t="s">
        <v>90</v>
      </c>
      <c r="H269" s="15" t="s">
        <v>90</v>
      </c>
      <c r="I269" s="15" t="s">
        <v>73</v>
      </c>
      <c r="J269" s="15" t="s">
        <v>270</v>
      </c>
      <c r="K269" s="15">
        <v>4</v>
      </c>
      <c r="L269" s="15">
        <v>4</v>
      </c>
      <c r="M269" s="15">
        <v>8</v>
      </c>
      <c r="N269" s="16">
        <v>0</v>
      </c>
      <c r="O269" s="16">
        <v>0</v>
      </c>
      <c r="P269" s="16">
        <v>0</v>
      </c>
      <c r="Q269" s="16">
        <v>0</v>
      </c>
      <c r="R269" s="16">
        <v>0</v>
      </c>
      <c r="S269" s="16"/>
      <c r="T269" s="15"/>
      <c r="U269" s="15" t="s">
        <v>301</v>
      </c>
      <c r="V269" s="15" t="s">
        <v>288</v>
      </c>
      <c r="W269" s="16">
        <v>30</v>
      </c>
      <c r="X269" s="17" t="s">
        <v>1064</v>
      </c>
      <c r="Y269" s="17" t="s">
        <v>1068</v>
      </c>
      <c r="Z269" s="17" t="s">
        <v>1066</v>
      </c>
    </row>
    <row r="270" ht="116" customHeight="1" spans="1:26">
      <c r="A270" s="15" t="s">
        <v>242</v>
      </c>
      <c r="B270" s="15" t="s">
        <v>99</v>
      </c>
      <c r="C270" s="15" t="s">
        <v>1069</v>
      </c>
      <c r="D270" s="15" t="s">
        <v>607</v>
      </c>
      <c r="E270" s="15" t="s">
        <v>441</v>
      </c>
      <c r="F270" s="15" t="s">
        <v>338</v>
      </c>
      <c r="G270" s="15" t="s">
        <v>73</v>
      </c>
      <c r="H270" s="15" t="s">
        <v>90</v>
      </c>
      <c r="I270" s="15" t="s">
        <v>73</v>
      </c>
      <c r="J270" s="15" t="s">
        <v>270</v>
      </c>
      <c r="K270" s="15">
        <v>4</v>
      </c>
      <c r="L270" s="15">
        <v>4</v>
      </c>
      <c r="M270" s="15">
        <v>8</v>
      </c>
      <c r="N270" s="16">
        <v>0</v>
      </c>
      <c r="O270" s="16">
        <v>0</v>
      </c>
      <c r="P270" s="16">
        <v>0</v>
      </c>
      <c r="Q270" s="16">
        <v>0</v>
      </c>
      <c r="R270" s="16">
        <v>0</v>
      </c>
      <c r="S270" s="16"/>
      <c r="T270" s="15"/>
      <c r="U270" s="15" t="s">
        <v>301</v>
      </c>
      <c r="V270" s="15" t="s">
        <v>288</v>
      </c>
      <c r="W270" s="16">
        <v>10</v>
      </c>
      <c r="X270" s="17" t="s">
        <v>1064</v>
      </c>
      <c r="Y270" s="17" t="s">
        <v>1068</v>
      </c>
      <c r="Z270" s="17" t="s">
        <v>1070</v>
      </c>
    </row>
    <row r="271" ht="159.5" customHeight="1" spans="1:26">
      <c r="A271" s="15" t="s">
        <v>242</v>
      </c>
      <c r="B271" s="15" t="s">
        <v>99</v>
      </c>
      <c r="C271" s="15" t="s">
        <v>1071</v>
      </c>
      <c r="D271" s="15" t="s">
        <v>607</v>
      </c>
      <c r="E271" s="15" t="s">
        <v>441</v>
      </c>
      <c r="F271" s="15" t="s">
        <v>338</v>
      </c>
      <c r="G271" s="15" t="s">
        <v>90</v>
      </c>
      <c r="H271" s="15" t="s">
        <v>90</v>
      </c>
      <c r="I271" s="15" t="s">
        <v>73</v>
      </c>
      <c r="J271" s="15" t="s">
        <v>279</v>
      </c>
      <c r="K271" s="15">
        <v>0</v>
      </c>
      <c r="L271" s="15">
        <v>14</v>
      </c>
      <c r="M271" s="15">
        <v>14</v>
      </c>
      <c r="N271" s="16">
        <v>0</v>
      </c>
      <c r="O271" s="16">
        <v>4</v>
      </c>
      <c r="P271" s="16">
        <v>0</v>
      </c>
      <c r="Q271" s="16">
        <v>0</v>
      </c>
      <c r="R271" s="16">
        <v>0</v>
      </c>
      <c r="S271" s="16"/>
      <c r="T271" s="15"/>
      <c r="U271" s="15" t="s">
        <v>301</v>
      </c>
      <c r="V271" s="15" t="s">
        <v>288</v>
      </c>
      <c r="W271" s="16">
        <v>10</v>
      </c>
      <c r="X271" s="17" t="s">
        <v>1060</v>
      </c>
      <c r="Y271" s="17" t="s">
        <v>1068</v>
      </c>
      <c r="Z271" s="17" t="s">
        <v>1066</v>
      </c>
    </row>
    <row r="272" ht="101.5" customHeight="1" spans="1:26">
      <c r="A272" s="15" t="s">
        <v>242</v>
      </c>
      <c r="B272" s="15" t="s">
        <v>99</v>
      </c>
      <c r="C272" s="15" t="s">
        <v>1072</v>
      </c>
      <c r="D272" s="15" t="s">
        <v>607</v>
      </c>
      <c r="E272" s="15" t="s">
        <v>441</v>
      </c>
      <c r="F272" s="15" t="s">
        <v>338</v>
      </c>
      <c r="G272" s="15" t="s">
        <v>90</v>
      </c>
      <c r="H272" s="15" t="s">
        <v>90</v>
      </c>
      <c r="I272" s="15" t="s">
        <v>73</v>
      </c>
      <c r="J272" s="15" t="s">
        <v>279</v>
      </c>
      <c r="K272" s="15">
        <v>0</v>
      </c>
      <c r="L272" s="15">
        <v>15</v>
      </c>
      <c r="M272" s="15">
        <v>15</v>
      </c>
      <c r="N272" s="16">
        <v>20</v>
      </c>
      <c r="O272" s="16">
        <v>8</v>
      </c>
      <c r="P272" s="16">
        <v>0</v>
      </c>
      <c r="Q272" s="16">
        <v>8</v>
      </c>
      <c r="R272" s="16">
        <v>0</v>
      </c>
      <c r="S272" s="16"/>
      <c r="T272" s="15"/>
      <c r="U272" s="15" t="s">
        <v>301</v>
      </c>
      <c r="V272" s="15" t="s">
        <v>288</v>
      </c>
      <c r="W272" s="16">
        <v>30</v>
      </c>
      <c r="X272" s="17" t="s">
        <v>1060</v>
      </c>
      <c r="Y272" s="17" t="s">
        <v>1068</v>
      </c>
      <c r="Z272" s="17" t="s">
        <v>1066</v>
      </c>
    </row>
    <row r="273" ht="101.5" customHeight="1" spans="1:26">
      <c r="A273" s="15" t="s">
        <v>242</v>
      </c>
      <c r="B273" s="15" t="s">
        <v>99</v>
      </c>
      <c r="C273" s="15" t="s">
        <v>1073</v>
      </c>
      <c r="D273" s="15" t="s">
        <v>607</v>
      </c>
      <c r="E273" s="15" t="s">
        <v>441</v>
      </c>
      <c r="F273" s="15" t="s">
        <v>338</v>
      </c>
      <c r="G273" s="15" t="s">
        <v>90</v>
      </c>
      <c r="H273" s="15" t="s">
        <v>90</v>
      </c>
      <c r="I273" s="15" t="s">
        <v>73</v>
      </c>
      <c r="J273" s="15" t="s">
        <v>270</v>
      </c>
      <c r="K273" s="15">
        <v>1</v>
      </c>
      <c r="L273" s="15">
        <v>4</v>
      </c>
      <c r="M273" s="15">
        <v>5</v>
      </c>
      <c r="N273" s="16">
        <v>0</v>
      </c>
      <c r="O273" s="16">
        <v>0</v>
      </c>
      <c r="P273" s="16">
        <v>0</v>
      </c>
      <c r="Q273" s="16">
        <v>0</v>
      </c>
      <c r="R273" s="16">
        <v>0</v>
      </c>
      <c r="S273" s="16"/>
      <c r="T273" s="15"/>
      <c r="U273" s="15" t="s">
        <v>301</v>
      </c>
      <c r="V273" s="15" t="s">
        <v>288</v>
      </c>
      <c r="W273" s="16">
        <v>10</v>
      </c>
      <c r="X273" s="17" t="s">
        <v>1064</v>
      </c>
      <c r="Y273" s="17" t="s">
        <v>1068</v>
      </c>
      <c r="Z273" s="17" t="s">
        <v>1066</v>
      </c>
    </row>
    <row r="274" ht="91" customHeight="1" spans="1:26">
      <c r="A274" s="15" t="s">
        <v>242</v>
      </c>
      <c r="B274" s="15" t="s">
        <v>99</v>
      </c>
      <c r="C274" s="15" t="s">
        <v>1074</v>
      </c>
      <c r="D274" s="15" t="s">
        <v>607</v>
      </c>
      <c r="E274" s="15" t="s">
        <v>441</v>
      </c>
      <c r="F274" s="15" t="s">
        <v>338</v>
      </c>
      <c r="G274" s="15" t="s">
        <v>90</v>
      </c>
      <c r="H274" s="15" t="s">
        <v>73</v>
      </c>
      <c r="I274" s="15" t="s">
        <v>73</v>
      </c>
      <c r="J274" s="15" t="s">
        <v>279</v>
      </c>
      <c r="K274" s="15">
        <v>0</v>
      </c>
      <c r="L274" s="15">
        <v>16</v>
      </c>
      <c r="M274" s="15">
        <v>16</v>
      </c>
      <c r="N274" s="16">
        <v>0</v>
      </c>
      <c r="O274" s="16">
        <v>0</v>
      </c>
      <c r="P274" s="16">
        <v>0</v>
      </c>
      <c r="Q274" s="16">
        <v>0</v>
      </c>
      <c r="R274" s="16">
        <v>0</v>
      </c>
      <c r="S274" s="16"/>
      <c r="T274" s="15"/>
      <c r="U274" s="15" t="s">
        <v>301</v>
      </c>
      <c r="V274" s="15" t="s">
        <v>288</v>
      </c>
      <c r="W274" s="16">
        <v>10</v>
      </c>
      <c r="X274" s="17" t="s">
        <v>1060</v>
      </c>
      <c r="Y274" s="17" t="s">
        <v>1068</v>
      </c>
      <c r="Z274" s="17" t="s">
        <v>1066</v>
      </c>
    </row>
    <row r="275" ht="116" customHeight="1" spans="1:26">
      <c r="A275" s="15" t="s">
        <v>242</v>
      </c>
      <c r="B275" s="15" t="s">
        <v>99</v>
      </c>
      <c r="C275" s="15" t="s">
        <v>1075</v>
      </c>
      <c r="D275" s="15" t="s">
        <v>607</v>
      </c>
      <c r="E275" s="15" t="s">
        <v>441</v>
      </c>
      <c r="F275" s="15" t="s">
        <v>338</v>
      </c>
      <c r="G275" s="15" t="s">
        <v>90</v>
      </c>
      <c r="H275" s="15" t="s">
        <v>73</v>
      </c>
      <c r="I275" s="15" t="s">
        <v>73</v>
      </c>
      <c r="J275" s="15" t="s">
        <v>279</v>
      </c>
      <c r="K275" s="15">
        <v>0</v>
      </c>
      <c r="L275" s="15">
        <v>12</v>
      </c>
      <c r="M275" s="15">
        <v>12</v>
      </c>
      <c r="N275" s="16">
        <v>0</v>
      </c>
      <c r="O275" s="16">
        <v>0</v>
      </c>
      <c r="P275" s="16">
        <v>0</v>
      </c>
      <c r="Q275" s="16">
        <v>0</v>
      </c>
      <c r="R275" s="16">
        <v>0</v>
      </c>
      <c r="S275" s="16"/>
      <c r="T275" s="15"/>
      <c r="U275" s="15" t="s">
        <v>301</v>
      </c>
      <c r="V275" s="15" t="s">
        <v>288</v>
      </c>
      <c r="W275" s="16">
        <v>10</v>
      </c>
      <c r="X275" s="17" t="s">
        <v>1060</v>
      </c>
      <c r="Y275" s="17" t="s">
        <v>1068</v>
      </c>
      <c r="Z275" s="17" t="s">
        <v>1070</v>
      </c>
    </row>
    <row r="276" ht="101.5" customHeight="1" spans="1:26">
      <c r="A276" s="15" t="s">
        <v>242</v>
      </c>
      <c r="B276" s="15" t="s">
        <v>99</v>
      </c>
      <c r="C276" s="15" t="s">
        <v>1076</v>
      </c>
      <c r="D276" s="15" t="s">
        <v>607</v>
      </c>
      <c r="E276" s="15" t="s">
        <v>441</v>
      </c>
      <c r="F276" s="15" t="s">
        <v>338</v>
      </c>
      <c r="G276" s="15" t="s">
        <v>90</v>
      </c>
      <c r="H276" s="15" t="s">
        <v>73</v>
      </c>
      <c r="I276" s="15" t="s">
        <v>73</v>
      </c>
      <c r="J276" s="15" t="s">
        <v>279</v>
      </c>
      <c r="K276" s="15">
        <v>0</v>
      </c>
      <c r="L276" s="15">
        <v>10</v>
      </c>
      <c r="M276" s="15">
        <v>10</v>
      </c>
      <c r="N276" s="16">
        <v>0</v>
      </c>
      <c r="O276" s="16">
        <v>0</v>
      </c>
      <c r="P276" s="16">
        <v>0</v>
      </c>
      <c r="Q276" s="16">
        <v>0</v>
      </c>
      <c r="R276" s="16">
        <v>0</v>
      </c>
      <c r="S276" s="16"/>
      <c r="T276" s="15"/>
      <c r="U276" s="15" t="s">
        <v>301</v>
      </c>
      <c r="V276" s="15" t="s">
        <v>288</v>
      </c>
      <c r="W276" s="16">
        <v>10</v>
      </c>
      <c r="X276" s="17" t="s">
        <v>1060</v>
      </c>
      <c r="Y276" s="17" t="s">
        <v>1068</v>
      </c>
      <c r="Z276" s="17" t="s">
        <v>1066</v>
      </c>
    </row>
    <row r="277" ht="87" customHeight="1" spans="1:26">
      <c r="A277" s="15" t="s">
        <v>242</v>
      </c>
      <c r="B277" s="15" t="s">
        <v>99</v>
      </c>
      <c r="C277" s="15" t="s">
        <v>1077</v>
      </c>
      <c r="D277" s="15" t="s">
        <v>607</v>
      </c>
      <c r="E277" s="15" t="s">
        <v>441</v>
      </c>
      <c r="F277" s="15" t="s">
        <v>338</v>
      </c>
      <c r="G277" s="15" t="s">
        <v>90</v>
      </c>
      <c r="H277" s="15" t="s">
        <v>73</v>
      </c>
      <c r="I277" s="15" t="s">
        <v>73</v>
      </c>
      <c r="J277" s="15" t="s">
        <v>279</v>
      </c>
      <c r="K277" s="15">
        <v>0</v>
      </c>
      <c r="L277" s="15">
        <v>4</v>
      </c>
      <c r="M277" s="15">
        <v>4</v>
      </c>
      <c r="N277" s="16">
        <v>0</v>
      </c>
      <c r="O277" s="16">
        <v>0</v>
      </c>
      <c r="P277" s="16">
        <v>0</v>
      </c>
      <c r="Q277" s="16">
        <v>0</v>
      </c>
      <c r="R277" s="16">
        <v>0</v>
      </c>
      <c r="S277" s="16"/>
      <c r="T277" s="15"/>
      <c r="U277" s="15" t="s">
        <v>301</v>
      </c>
      <c r="V277" s="15" t="s">
        <v>288</v>
      </c>
      <c r="W277" s="16">
        <v>10</v>
      </c>
      <c r="X277" s="17" t="s">
        <v>1060</v>
      </c>
      <c r="Y277" s="17" t="s">
        <v>1068</v>
      </c>
      <c r="Z277" s="17" t="s">
        <v>1066</v>
      </c>
    </row>
    <row r="278" ht="116" customHeight="1" spans="1:26">
      <c r="A278" s="15" t="s">
        <v>242</v>
      </c>
      <c r="B278" s="15" t="s">
        <v>99</v>
      </c>
      <c r="C278" s="15" t="s">
        <v>1078</v>
      </c>
      <c r="D278" s="15" t="s">
        <v>607</v>
      </c>
      <c r="E278" s="15" t="s">
        <v>441</v>
      </c>
      <c r="F278" s="15" t="s">
        <v>338</v>
      </c>
      <c r="G278" s="15" t="s">
        <v>90</v>
      </c>
      <c r="H278" s="15" t="s">
        <v>73</v>
      </c>
      <c r="I278" s="15" t="s">
        <v>73</v>
      </c>
      <c r="J278" s="15" t="s">
        <v>279</v>
      </c>
      <c r="K278" s="15">
        <v>0</v>
      </c>
      <c r="L278" s="15">
        <v>6</v>
      </c>
      <c r="M278" s="15">
        <v>6</v>
      </c>
      <c r="N278" s="16">
        <v>0</v>
      </c>
      <c r="O278" s="16">
        <v>0</v>
      </c>
      <c r="P278" s="16">
        <v>0</v>
      </c>
      <c r="Q278" s="16">
        <v>0</v>
      </c>
      <c r="R278" s="16">
        <v>0</v>
      </c>
      <c r="S278" s="16"/>
      <c r="T278" s="15"/>
      <c r="U278" s="15" t="s">
        <v>301</v>
      </c>
      <c r="V278" s="15" t="s">
        <v>288</v>
      </c>
      <c r="W278" s="16">
        <v>10</v>
      </c>
      <c r="X278" s="17" t="s">
        <v>1060</v>
      </c>
      <c r="Y278" s="17" t="s">
        <v>1068</v>
      </c>
      <c r="Z278" s="17" t="s">
        <v>1066</v>
      </c>
    </row>
    <row r="279" ht="145" customHeight="1" spans="1:26">
      <c r="A279" s="15" t="s">
        <v>242</v>
      </c>
      <c r="B279" s="15" t="s">
        <v>99</v>
      </c>
      <c r="C279" s="15" t="s">
        <v>1079</v>
      </c>
      <c r="D279" s="15" t="s">
        <v>607</v>
      </c>
      <c r="E279" s="15" t="s">
        <v>441</v>
      </c>
      <c r="F279" s="15" t="s">
        <v>338</v>
      </c>
      <c r="G279" s="15" t="s">
        <v>90</v>
      </c>
      <c r="H279" s="15" t="s">
        <v>73</v>
      </c>
      <c r="I279" s="15" t="s">
        <v>73</v>
      </c>
      <c r="J279" s="15" t="s">
        <v>279</v>
      </c>
      <c r="K279" s="15">
        <v>0</v>
      </c>
      <c r="L279" s="15">
        <v>10</v>
      </c>
      <c r="M279" s="15">
        <v>10</v>
      </c>
      <c r="N279" s="16">
        <v>0</v>
      </c>
      <c r="O279" s="16">
        <v>0</v>
      </c>
      <c r="P279" s="16">
        <v>0</v>
      </c>
      <c r="Q279" s="16">
        <v>0</v>
      </c>
      <c r="R279" s="16">
        <v>0</v>
      </c>
      <c r="S279" s="16"/>
      <c r="T279" s="15"/>
      <c r="U279" s="15" t="s">
        <v>301</v>
      </c>
      <c r="V279" s="15" t="s">
        <v>288</v>
      </c>
      <c r="W279" s="16">
        <v>10</v>
      </c>
      <c r="X279" s="17" t="s">
        <v>1060</v>
      </c>
      <c r="Y279" s="17" t="s">
        <v>1068</v>
      </c>
      <c r="Z279" s="17" t="s">
        <v>1066</v>
      </c>
    </row>
    <row r="280" ht="130.5" customHeight="1" spans="1:26">
      <c r="A280" s="15" t="s">
        <v>242</v>
      </c>
      <c r="B280" s="15" t="s">
        <v>99</v>
      </c>
      <c r="C280" s="15" t="s">
        <v>1080</v>
      </c>
      <c r="D280" s="15" t="s">
        <v>607</v>
      </c>
      <c r="E280" s="15" t="s">
        <v>441</v>
      </c>
      <c r="F280" s="15" t="s">
        <v>338</v>
      </c>
      <c r="G280" s="15" t="s">
        <v>90</v>
      </c>
      <c r="H280" s="15" t="s">
        <v>73</v>
      </c>
      <c r="I280" s="15" t="s">
        <v>73</v>
      </c>
      <c r="J280" s="15" t="s">
        <v>279</v>
      </c>
      <c r="K280" s="15">
        <v>0</v>
      </c>
      <c r="L280" s="15">
        <v>4</v>
      </c>
      <c r="M280" s="15">
        <v>4</v>
      </c>
      <c r="N280" s="16">
        <v>0</v>
      </c>
      <c r="O280" s="16">
        <v>0</v>
      </c>
      <c r="P280" s="16">
        <v>0</v>
      </c>
      <c r="Q280" s="16">
        <v>0</v>
      </c>
      <c r="R280" s="16">
        <v>0</v>
      </c>
      <c r="S280" s="16"/>
      <c r="T280" s="15"/>
      <c r="U280" s="15" t="s">
        <v>301</v>
      </c>
      <c r="V280" s="15" t="s">
        <v>288</v>
      </c>
      <c r="W280" s="16">
        <v>10</v>
      </c>
      <c r="X280" s="17" t="s">
        <v>1060</v>
      </c>
      <c r="Y280" s="17" t="s">
        <v>1068</v>
      </c>
      <c r="Z280" s="17" t="s">
        <v>1066</v>
      </c>
    </row>
    <row r="281" ht="130.5" customHeight="1" spans="1:26">
      <c r="A281" s="15" t="s">
        <v>242</v>
      </c>
      <c r="B281" s="15" t="s">
        <v>99</v>
      </c>
      <c r="C281" s="15" t="s">
        <v>1081</v>
      </c>
      <c r="D281" s="15" t="s">
        <v>607</v>
      </c>
      <c r="E281" s="15" t="s">
        <v>441</v>
      </c>
      <c r="F281" s="15" t="s">
        <v>338</v>
      </c>
      <c r="G281" s="15" t="s">
        <v>90</v>
      </c>
      <c r="H281" s="15" t="s">
        <v>73</v>
      </c>
      <c r="I281" s="15" t="s">
        <v>73</v>
      </c>
      <c r="J281" s="15" t="s">
        <v>279</v>
      </c>
      <c r="K281" s="15">
        <v>0</v>
      </c>
      <c r="L281" s="15">
        <v>4</v>
      </c>
      <c r="M281" s="15">
        <v>4</v>
      </c>
      <c r="N281" s="16">
        <v>0</v>
      </c>
      <c r="O281" s="16">
        <v>0</v>
      </c>
      <c r="P281" s="16">
        <v>0</v>
      </c>
      <c r="Q281" s="16">
        <v>0</v>
      </c>
      <c r="R281" s="16">
        <v>0</v>
      </c>
      <c r="S281" s="16"/>
      <c r="T281" s="15"/>
      <c r="U281" s="15" t="s">
        <v>301</v>
      </c>
      <c r="V281" s="15" t="s">
        <v>288</v>
      </c>
      <c r="W281" s="16">
        <v>10</v>
      </c>
      <c r="X281" s="17" t="s">
        <v>1060</v>
      </c>
      <c r="Y281" s="17" t="s">
        <v>1068</v>
      </c>
      <c r="Z281" s="17" t="s">
        <v>1070</v>
      </c>
    </row>
    <row r="282" ht="130.5" customHeight="1" spans="1:26">
      <c r="A282" s="8" t="s">
        <v>98</v>
      </c>
      <c r="B282" s="8" t="s">
        <v>99</v>
      </c>
      <c r="C282" s="8" t="s">
        <v>1082</v>
      </c>
      <c r="D282" s="8" t="s">
        <v>267</v>
      </c>
      <c r="E282" s="8" t="s">
        <v>268</v>
      </c>
      <c r="F282" s="8" t="s">
        <v>269</v>
      </c>
      <c r="G282" s="8" t="s">
        <v>90</v>
      </c>
      <c r="H282" s="8" t="s">
        <v>90</v>
      </c>
      <c r="I282" s="8" t="s">
        <v>90</v>
      </c>
      <c r="J282" s="8" t="s">
        <v>270</v>
      </c>
      <c r="K282" s="8">
        <v>1</v>
      </c>
      <c r="L282" s="8">
        <v>12</v>
      </c>
      <c r="M282" s="8">
        <v>13</v>
      </c>
      <c r="N282" s="9">
        <v>92</v>
      </c>
      <c r="O282" s="9">
        <v>120</v>
      </c>
      <c r="P282" s="9">
        <v>140</v>
      </c>
      <c r="Q282" s="9">
        <v>116</v>
      </c>
      <c r="R282" s="9">
        <v>168</v>
      </c>
      <c r="S282" s="9"/>
      <c r="T282" s="8"/>
      <c r="U282" s="8" t="s">
        <v>272</v>
      </c>
      <c r="V282" s="8" t="s">
        <v>272</v>
      </c>
      <c r="W282" s="10">
        <v>180</v>
      </c>
      <c r="X282" s="11" t="s">
        <v>1083</v>
      </c>
      <c r="Y282" s="11" t="s">
        <v>1084</v>
      </c>
      <c r="Z282" s="11" t="s">
        <v>1085</v>
      </c>
    </row>
    <row r="283" ht="116" customHeight="1" spans="1:26">
      <c r="A283" s="8" t="s">
        <v>98</v>
      </c>
      <c r="B283" s="8" t="s">
        <v>99</v>
      </c>
      <c r="C283" s="8" t="s">
        <v>634</v>
      </c>
      <c r="D283" s="8" t="s">
        <v>267</v>
      </c>
      <c r="E283" s="8" t="s">
        <v>268</v>
      </c>
      <c r="F283" s="8" t="s">
        <v>269</v>
      </c>
      <c r="G283" s="8" t="s">
        <v>90</v>
      </c>
      <c r="H283" s="8" t="s">
        <v>90</v>
      </c>
      <c r="I283" s="8" t="s">
        <v>90</v>
      </c>
      <c r="J283" s="8" t="s">
        <v>270</v>
      </c>
      <c r="K283" s="8">
        <v>1</v>
      </c>
      <c r="L283" s="8">
        <v>20</v>
      </c>
      <c r="M283" s="8">
        <v>21</v>
      </c>
      <c r="N283" s="9">
        <v>132</v>
      </c>
      <c r="O283" s="9">
        <v>112</v>
      </c>
      <c r="P283" s="9">
        <v>80</v>
      </c>
      <c r="Q283" s="9">
        <v>80</v>
      </c>
      <c r="R283" s="9">
        <v>112</v>
      </c>
      <c r="S283" s="9"/>
      <c r="T283" s="8"/>
      <c r="U283" s="8" t="s">
        <v>271</v>
      </c>
      <c r="V283" s="8" t="s">
        <v>272</v>
      </c>
      <c r="W283" s="10">
        <v>130</v>
      </c>
      <c r="X283" s="11" t="s">
        <v>1086</v>
      </c>
      <c r="Y283" s="11" t="s">
        <v>1087</v>
      </c>
      <c r="Z283" s="11" t="s">
        <v>1085</v>
      </c>
    </row>
    <row r="284" ht="145" customHeight="1" spans="1:26">
      <c r="A284" s="8" t="s">
        <v>98</v>
      </c>
      <c r="B284" s="8" t="s">
        <v>99</v>
      </c>
      <c r="C284" s="8" t="s">
        <v>1088</v>
      </c>
      <c r="D284" s="8" t="s">
        <v>285</v>
      </c>
      <c r="E284" s="8" t="s">
        <v>286</v>
      </c>
      <c r="F284" s="8" t="s">
        <v>287</v>
      </c>
      <c r="G284" s="8" t="s">
        <v>90</v>
      </c>
      <c r="H284" s="8" t="s">
        <v>90</v>
      </c>
      <c r="I284" s="8" t="s">
        <v>90</v>
      </c>
      <c r="J284" s="8" t="s">
        <v>279</v>
      </c>
      <c r="K284" s="8">
        <v>0</v>
      </c>
      <c r="L284" s="8">
        <v>16</v>
      </c>
      <c r="M284" s="8">
        <v>16</v>
      </c>
      <c r="N284" s="9">
        <v>72</v>
      </c>
      <c r="O284" s="9">
        <v>88</v>
      </c>
      <c r="P284" s="9">
        <v>44</v>
      </c>
      <c r="Q284" s="9">
        <v>72</v>
      </c>
      <c r="R284" s="9">
        <v>92</v>
      </c>
      <c r="S284" s="9"/>
      <c r="T284" s="8"/>
      <c r="U284" s="8" t="s">
        <v>271</v>
      </c>
      <c r="V284" s="8" t="s">
        <v>272</v>
      </c>
      <c r="W284" s="10">
        <v>130</v>
      </c>
      <c r="X284" s="11" t="s">
        <v>1083</v>
      </c>
      <c r="Y284" s="11" t="s">
        <v>1089</v>
      </c>
      <c r="Z284" s="11" t="s">
        <v>1085</v>
      </c>
    </row>
    <row r="285" ht="130.5" customHeight="1" spans="1:26">
      <c r="A285" s="8" t="s">
        <v>98</v>
      </c>
      <c r="B285" s="8" t="s">
        <v>99</v>
      </c>
      <c r="C285" s="8" t="s">
        <v>1090</v>
      </c>
      <c r="D285" s="8" t="s">
        <v>285</v>
      </c>
      <c r="E285" s="8" t="s">
        <v>286</v>
      </c>
      <c r="F285" s="8" t="s">
        <v>287</v>
      </c>
      <c r="G285" s="8" t="s">
        <v>90</v>
      </c>
      <c r="H285" s="8" t="s">
        <v>90</v>
      </c>
      <c r="I285" s="8" t="s">
        <v>90</v>
      </c>
      <c r="J285" s="8" t="s">
        <v>279</v>
      </c>
      <c r="K285" s="8">
        <v>0</v>
      </c>
      <c r="L285" s="8">
        <v>20</v>
      </c>
      <c r="M285" s="8">
        <v>20</v>
      </c>
      <c r="N285" s="9">
        <v>36</v>
      </c>
      <c r="O285" s="9">
        <v>108</v>
      </c>
      <c r="P285" s="9">
        <v>64</v>
      </c>
      <c r="Q285" s="9">
        <v>76</v>
      </c>
      <c r="R285" s="9">
        <v>76</v>
      </c>
      <c r="S285" s="9"/>
      <c r="T285" s="8"/>
      <c r="U285" s="8" t="s">
        <v>271</v>
      </c>
      <c r="V285" s="8" t="s">
        <v>271</v>
      </c>
      <c r="W285" s="10">
        <v>120</v>
      </c>
      <c r="X285" s="11" t="s">
        <v>1083</v>
      </c>
      <c r="Y285" s="11" t="s">
        <v>1091</v>
      </c>
      <c r="Z285" s="11" t="s">
        <v>1085</v>
      </c>
    </row>
    <row r="286" ht="130.5" customHeight="1" spans="1:26">
      <c r="A286" s="8" t="s">
        <v>98</v>
      </c>
      <c r="B286" s="8" t="s">
        <v>99</v>
      </c>
      <c r="C286" s="8" t="s">
        <v>1092</v>
      </c>
      <c r="D286" s="8" t="s">
        <v>267</v>
      </c>
      <c r="E286" s="8" t="s">
        <v>268</v>
      </c>
      <c r="F286" s="8" t="s">
        <v>269</v>
      </c>
      <c r="G286" s="8" t="s">
        <v>90</v>
      </c>
      <c r="H286" s="8" t="s">
        <v>90</v>
      </c>
      <c r="I286" s="8" t="s">
        <v>90</v>
      </c>
      <c r="J286" s="8" t="s">
        <v>270</v>
      </c>
      <c r="K286" s="8">
        <v>1</v>
      </c>
      <c r="L286" s="8">
        <v>12</v>
      </c>
      <c r="M286" s="8">
        <v>13</v>
      </c>
      <c r="N286" s="9">
        <v>36</v>
      </c>
      <c r="O286" s="9">
        <v>16</v>
      </c>
      <c r="P286" s="9">
        <v>20</v>
      </c>
      <c r="Q286" s="9">
        <v>24</v>
      </c>
      <c r="R286" s="9">
        <v>16</v>
      </c>
      <c r="S286" s="9"/>
      <c r="T286" s="8"/>
      <c r="U286" s="8" t="s">
        <v>288</v>
      </c>
      <c r="V286" s="8" t="s">
        <v>280</v>
      </c>
      <c r="W286" s="10">
        <v>30</v>
      </c>
      <c r="X286" s="11" t="s">
        <v>1083</v>
      </c>
      <c r="Y286" s="11" t="s">
        <v>1087</v>
      </c>
      <c r="Z286" s="11" t="s">
        <v>1093</v>
      </c>
    </row>
    <row r="287" ht="130.5" customHeight="1" spans="1:26">
      <c r="A287" s="8" t="s">
        <v>98</v>
      </c>
      <c r="B287" s="8" t="s">
        <v>99</v>
      </c>
      <c r="C287" s="8" t="s">
        <v>1094</v>
      </c>
      <c r="D287" s="8" t="s">
        <v>267</v>
      </c>
      <c r="E287" s="8" t="s">
        <v>268</v>
      </c>
      <c r="F287" s="8" t="s">
        <v>269</v>
      </c>
      <c r="G287" s="8" t="s">
        <v>90</v>
      </c>
      <c r="H287" s="8" t="s">
        <v>90</v>
      </c>
      <c r="I287" s="8" t="s">
        <v>90</v>
      </c>
      <c r="J287" s="8" t="s">
        <v>270</v>
      </c>
      <c r="K287" s="8">
        <v>1</v>
      </c>
      <c r="L287" s="8">
        <v>12</v>
      </c>
      <c r="M287" s="8">
        <v>13</v>
      </c>
      <c r="N287" s="9">
        <v>48</v>
      </c>
      <c r="O287" s="9">
        <v>8</v>
      </c>
      <c r="P287" s="9">
        <v>28</v>
      </c>
      <c r="Q287" s="9">
        <v>0</v>
      </c>
      <c r="R287" s="9">
        <v>8</v>
      </c>
      <c r="S287" s="9"/>
      <c r="T287" s="8"/>
      <c r="U287" s="8" t="s">
        <v>288</v>
      </c>
      <c r="V287" s="8" t="s">
        <v>280</v>
      </c>
      <c r="W287" s="10">
        <v>30</v>
      </c>
      <c r="X287" s="11" t="s">
        <v>1083</v>
      </c>
      <c r="Y287" s="11" t="s">
        <v>1087</v>
      </c>
      <c r="Z287" s="11" t="s">
        <v>1093</v>
      </c>
    </row>
    <row r="288" ht="101" customHeight="1" spans="1:26">
      <c r="A288" s="8" t="s">
        <v>98</v>
      </c>
      <c r="B288" s="8" t="s">
        <v>99</v>
      </c>
      <c r="C288" s="8" t="s">
        <v>1095</v>
      </c>
      <c r="D288" s="8" t="s">
        <v>285</v>
      </c>
      <c r="E288" s="8" t="s">
        <v>286</v>
      </c>
      <c r="F288" s="8" t="s">
        <v>287</v>
      </c>
      <c r="G288" s="8" t="s">
        <v>90</v>
      </c>
      <c r="H288" s="8" t="s">
        <v>90</v>
      </c>
      <c r="I288" s="8" t="s">
        <v>90</v>
      </c>
      <c r="J288" s="8" t="s">
        <v>279</v>
      </c>
      <c r="K288" s="8">
        <v>0</v>
      </c>
      <c r="L288" s="8">
        <v>12</v>
      </c>
      <c r="M288" s="8">
        <v>12</v>
      </c>
      <c r="N288" s="9">
        <v>0</v>
      </c>
      <c r="O288" s="9">
        <v>8</v>
      </c>
      <c r="P288" s="9">
        <v>24</v>
      </c>
      <c r="Q288" s="9">
        <v>36</v>
      </c>
      <c r="R288" s="9">
        <v>8</v>
      </c>
      <c r="S288" s="9"/>
      <c r="T288" s="8"/>
      <c r="U288" s="8" t="s">
        <v>288</v>
      </c>
      <c r="V288" s="8" t="s">
        <v>288</v>
      </c>
      <c r="W288" s="10">
        <v>20</v>
      </c>
      <c r="X288" s="11" t="s">
        <v>1083</v>
      </c>
      <c r="Y288" s="11" t="s">
        <v>1091</v>
      </c>
      <c r="Z288" s="11" t="s">
        <v>1093</v>
      </c>
    </row>
    <row r="289" ht="31" customHeight="1" spans="1:26">
      <c r="A289" s="8" t="s">
        <v>98</v>
      </c>
      <c r="B289" s="8" t="s">
        <v>99</v>
      </c>
      <c r="C289" s="8" t="s">
        <v>1096</v>
      </c>
      <c r="D289" s="8" t="s">
        <v>285</v>
      </c>
      <c r="E289" s="8" t="s">
        <v>286</v>
      </c>
      <c r="F289" s="8" t="s">
        <v>287</v>
      </c>
      <c r="G289" s="8" t="s">
        <v>73</v>
      </c>
      <c r="H289" s="8" t="s">
        <v>73</v>
      </c>
      <c r="I289" s="8" t="s">
        <v>90</v>
      </c>
      <c r="J289" s="8" t="s">
        <v>279</v>
      </c>
      <c r="K289" s="8">
        <v>0</v>
      </c>
      <c r="L289" s="8">
        <v>10</v>
      </c>
      <c r="M289" s="8">
        <v>10</v>
      </c>
      <c r="N289" s="9">
        <v>0</v>
      </c>
      <c r="O289" s="9">
        <v>0</v>
      </c>
      <c r="P289" s="9">
        <v>0</v>
      </c>
      <c r="Q289" s="9">
        <v>0</v>
      </c>
      <c r="R289" s="9">
        <v>4</v>
      </c>
      <c r="S289" s="9"/>
      <c r="T289" s="8"/>
      <c r="U289" s="8" t="s">
        <v>288</v>
      </c>
      <c r="V289" s="8" t="s">
        <v>288</v>
      </c>
      <c r="W289" s="10">
        <v>8</v>
      </c>
      <c r="X289" s="11" t="s">
        <v>1083</v>
      </c>
      <c r="Y289" s="11" t="s">
        <v>1091</v>
      </c>
      <c r="Z289" s="11" t="s">
        <v>1093</v>
      </c>
    </row>
    <row r="290" ht="31" customHeight="1" spans="1:26">
      <c r="A290" s="8" t="s">
        <v>98</v>
      </c>
      <c r="B290" s="8" t="s">
        <v>99</v>
      </c>
      <c r="C290" s="8" t="s">
        <v>1097</v>
      </c>
      <c r="D290" s="8" t="s">
        <v>267</v>
      </c>
      <c r="E290" s="8" t="s">
        <v>268</v>
      </c>
      <c r="F290" s="8" t="s">
        <v>269</v>
      </c>
      <c r="G290" s="8" t="s">
        <v>90</v>
      </c>
      <c r="H290" s="8" t="s">
        <v>90</v>
      </c>
      <c r="I290" s="8" t="s">
        <v>90</v>
      </c>
      <c r="J290" s="8" t="s">
        <v>270</v>
      </c>
      <c r="K290" s="8">
        <v>4</v>
      </c>
      <c r="L290" s="8">
        <v>8</v>
      </c>
      <c r="M290" s="8">
        <v>12</v>
      </c>
      <c r="N290" s="9">
        <v>36</v>
      </c>
      <c r="O290" s="9">
        <v>20</v>
      </c>
      <c r="P290" s="9">
        <v>32</v>
      </c>
      <c r="Q290" s="9">
        <v>32</v>
      </c>
      <c r="R290" s="9">
        <v>0</v>
      </c>
      <c r="S290" s="9"/>
      <c r="T290" s="8"/>
      <c r="U290" s="8" t="s">
        <v>301</v>
      </c>
      <c r="V290" s="8" t="s">
        <v>288</v>
      </c>
      <c r="W290" s="10">
        <v>10</v>
      </c>
      <c r="X290" s="11" t="s">
        <v>1083</v>
      </c>
      <c r="Y290" s="11" t="s">
        <v>1084</v>
      </c>
      <c r="Z290" s="11" t="s">
        <v>1093</v>
      </c>
    </row>
    <row r="291" ht="31" customHeight="1" spans="1:26">
      <c r="A291" s="8" t="s">
        <v>98</v>
      </c>
      <c r="B291" s="8" t="s">
        <v>99</v>
      </c>
      <c r="C291" s="8" t="s">
        <v>1098</v>
      </c>
      <c r="D291" s="8" t="s">
        <v>285</v>
      </c>
      <c r="E291" s="8" t="s">
        <v>286</v>
      </c>
      <c r="F291" s="8" t="s">
        <v>287</v>
      </c>
      <c r="G291" s="8" t="s">
        <v>90</v>
      </c>
      <c r="H291" s="8" t="s">
        <v>90</v>
      </c>
      <c r="I291" s="8" t="s">
        <v>90</v>
      </c>
      <c r="J291" s="8" t="s">
        <v>293</v>
      </c>
      <c r="K291" s="8">
        <v>1</v>
      </c>
      <c r="L291" s="8">
        <v>12</v>
      </c>
      <c r="M291" s="8">
        <v>12</v>
      </c>
      <c r="N291" s="9">
        <v>0</v>
      </c>
      <c r="O291" s="9">
        <v>0</v>
      </c>
      <c r="P291" s="9">
        <v>0</v>
      </c>
      <c r="Q291" s="9">
        <v>0</v>
      </c>
      <c r="R291" s="9">
        <v>0</v>
      </c>
      <c r="S291" s="9"/>
      <c r="T291" s="8"/>
      <c r="U291" s="8" t="s">
        <v>301</v>
      </c>
      <c r="V291" s="8" t="s">
        <v>288</v>
      </c>
      <c r="W291" s="10">
        <v>10</v>
      </c>
      <c r="X291" s="11" t="s">
        <v>1083</v>
      </c>
      <c r="Y291" s="11" t="s">
        <v>1099</v>
      </c>
      <c r="Z291" s="11" t="s">
        <v>1093</v>
      </c>
    </row>
    <row r="292" ht="31" customHeight="1" spans="1:26">
      <c r="A292" s="8" t="s">
        <v>98</v>
      </c>
      <c r="B292" s="8" t="s">
        <v>99</v>
      </c>
      <c r="C292" s="8" t="s">
        <v>1100</v>
      </c>
      <c r="D292" s="8" t="s">
        <v>285</v>
      </c>
      <c r="E292" s="8" t="s">
        <v>286</v>
      </c>
      <c r="F292" s="8" t="s">
        <v>287</v>
      </c>
      <c r="G292" s="8" t="s">
        <v>90</v>
      </c>
      <c r="H292" s="8" t="s">
        <v>90</v>
      </c>
      <c r="I292" s="8" t="s">
        <v>90</v>
      </c>
      <c r="J292" s="8" t="s">
        <v>293</v>
      </c>
      <c r="K292" s="8">
        <v>1</v>
      </c>
      <c r="L292" s="8">
        <v>13</v>
      </c>
      <c r="M292" s="8">
        <v>13</v>
      </c>
      <c r="N292" s="9">
        <v>0</v>
      </c>
      <c r="O292" s="9">
        <v>0</v>
      </c>
      <c r="P292" s="9">
        <v>0</v>
      </c>
      <c r="Q292" s="9">
        <v>0</v>
      </c>
      <c r="R292" s="9">
        <v>0</v>
      </c>
      <c r="S292" s="9"/>
      <c r="T292" s="8"/>
      <c r="U292" s="8" t="s">
        <v>301</v>
      </c>
      <c r="V292" s="8" t="s">
        <v>288</v>
      </c>
      <c r="W292" s="10">
        <v>10</v>
      </c>
      <c r="X292" s="11" t="s">
        <v>1083</v>
      </c>
      <c r="Y292" s="11" t="s">
        <v>1099</v>
      </c>
      <c r="Z292" s="11" t="s">
        <v>1093</v>
      </c>
    </row>
    <row r="293" ht="31" customHeight="1" spans="1:26">
      <c r="A293" s="8" t="s">
        <v>98</v>
      </c>
      <c r="B293" s="8" t="s">
        <v>99</v>
      </c>
      <c r="C293" s="8" t="s">
        <v>1101</v>
      </c>
      <c r="D293" s="8" t="s">
        <v>267</v>
      </c>
      <c r="E293" s="8" t="s">
        <v>268</v>
      </c>
      <c r="F293" s="8" t="s">
        <v>269</v>
      </c>
      <c r="G293" s="8" t="s">
        <v>90</v>
      </c>
      <c r="H293" s="8" t="s">
        <v>90</v>
      </c>
      <c r="I293" s="8" t="s">
        <v>90</v>
      </c>
      <c r="J293" s="8" t="s">
        <v>270</v>
      </c>
      <c r="K293" s="8">
        <v>4</v>
      </c>
      <c r="L293" s="8">
        <v>4</v>
      </c>
      <c r="M293" s="8">
        <v>8</v>
      </c>
      <c r="N293" s="9">
        <v>4</v>
      </c>
      <c r="O293" s="9">
        <v>8</v>
      </c>
      <c r="P293" s="9">
        <v>20</v>
      </c>
      <c r="Q293" s="9">
        <v>4</v>
      </c>
      <c r="R293" s="9">
        <v>0</v>
      </c>
      <c r="S293" s="9"/>
      <c r="T293" s="8"/>
      <c r="U293" s="8" t="s">
        <v>301</v>
      </c>
      <c r="V293" s="8" t="s">
        <v>288</v>
      </c>
      <c r="W293" s="10">
        <v>10</v>
      </c>
      <c r="X293" s="11" t="s">
        <v>1083</v>
      </c>
      <c r="Y293" s="11" t="s">
        <v>1084</v>
      </c>
      <c r="Z293" s="11" t="s">
        <v>1093</v>
      </c>
    </row>
    <row r="294" ht="31" customHeight="1" spans="1:26">
      <c r="A294" s="8" t="s">
        <v>98</v>
      </c>
      <c r="B294" s="8" t="s">
        <v>99</v>
      </c>
      <c r="C294" s="8" t="s">
        <v>1102</v>
      </c>
      <c r="D294" s="8" t="s">
        <v>267</v>
      </c>
      <c r="E294" s="8" t="s">
        <v>277</v>
      </c>
      <c r="F294" s="8" t="s">
        <v>278</v>
      </c>
      <c r="G294" s="8" t="s">
        <v>90</v>
      </c>
      <c r="H294" s="8" t="s">
        <v>73</v>
      </c>
      <c r="I294" s="8" t="s">
        <v>90</v>
      </c>
      <c r="J294" s="8" t="s">
        <v>279</v>
      </c>
      <c r="K294" s="8">
        <v>0</v>
      </c>
      <c r="L294" s="8">
        <v>14</v>
      </c>
      <c r="M294" s="8">
        <v>14</v>
      </c>
      <c r="N294" s="9">
        <v>0</v>
      </c>
      <c r="O294" s="9">
        <v>4</v>
      </c>
      <c r="P294" s="9">
        <v>4</v>
      </c>
      <c r="Q294" s="9">
        <v>0</v>
      </c>
      <c r="R294" s="9">
        <v>0</v>
      </c>
      <c r="S294" s="9"/>
      <c r="T294" s="8"/>
      <c r="U294" s="8" t="s">
        <v>301</v>
      </c>
      <c r="V294" s="8" t="s">
        <v>288</v>
      </c>
      <c r="W294" s="10">
        <v>10</v>
      </c>
      <c r="X294" s="11" t="s">
        <v>1086</v>
      </c>
      <c r="Y294" s="11" t="s">
        <v>1087</v>
      </c>
      <c r="Z294" s="11" t="s">
        <v>1093</v>
      </c>
    </row>
    <row r="295" ht="31" customHeight="1" spans="1:26">
      <c r="A295" s="8" t="s">
        <v>98</v>
      </c>
      <c r="B295" s="8" t="s">
        <v>99</v>
      </c>
      <c r="C295" s="8" t="s">
        <v>1103</v>
      </c>
      <c r="D295" s="8" t="s">
        <v>267</v>
      </c>
      <c r="E295" s="8" t="s">
        <v>277</v>
      </c>
      <c r="F295" s="8" t="s">
        <v>278</v>
      </c>
      <c r="G295" s="8" t="s">
        <v>90</v>
      </c>
      <c r="H295" s="8" t="s">
        <v>73</v>
      </c>
      <c r="I295" s="8" t="s">
        <v>90</v>
      </c>
      <c r="J295" s="8" t="s">
        <v>279</v>
      </c>
      <c r="K295" s="8">
        <v>0</v>
      </c>
      <c r="L295" s="8">
        <v>8</v>
      </c>
      <c r="M295" s="8">
        <v>8</v>
      </c>
      <c r="N295" s="9">
        <v>0</v>
      </c>
      <c r="O295" s="9">
        <v>0</v>
      </c>
      <c r="P295" s="9">
        <v>0</v>
      </c>
      <c r="Q295" s="9">
        <v>0</v>
      </c>
      <c r="R295" s="9">
        <v>0</v>
      </c>
      <c r="S295" s="9"/>
      <c r="T295" s="8"/>
      <c r="U295" s="8" t="s">
        <v>301</v>
      </c>
      <c r="V295" s="8" t="s">
        <v>288</v>
      </c>
      <c r="W295" s="10">
        <v>10</v>
      </c>
      <c r="X295" s="11" t="s">
        <v>1086</v>
      </c>
      <c r="Y295" s="11" t="s">
        <v>1104</v>
      </c>
      <c r="Z295" s="11" t="s">
        <v>1093</v>
      </c>
    </row>
    <row r="296" ht="31" customHeight="1" spans="1:26">
      <c r="A296" s="8" t="s">
        <v>98</v>
      </c>
      <c r="B296" s="8" t="s">
        <v>99</v>
      </c>
      <c r="C296" s="8" t="s">
        <v>1105</v>
      </c>
      <c r="D296" s="8" t="s">
        <v>267</v>
      </c>
      <c r="E296" s="8" t="s">
        <v>277</v>
      </c>
      <c r="F296" s="8" t="s">
        <v>278</v>
      </c>
      <c r="G296" s="8" t="s">
        <v>90</v>
      </c>
      <c r="H296" s="8" t="s">
        <v>73</v>
      </c>
      <c r="I296" s="8" t="s">
        <v>90</v>
      </c>
      <c r="J296" s="8" t="s">
        <v>279</v>
      </c>
      <c r="K296" s="8">
        <v>0</v>
      </c>
      <c r="L296" s="8">
        <v>14</v>
      </c>
      <c r="M296" s="8">
        <v>14</v>
      </c>
      <c r="N296" s="9">
        <v>0</v>
      </c>
      <c r="O296" s="9">
        <v>0</v>
      </c>
      <c r="P296" s="9">
        <v>0</v>
      </c>
      <c r="Q296" s="9">
        <v>0</v>
      </c>
      <c r="R296" s="9">
        <v>0</v>
      </c>
      <c r="S296" s="9"/>
      <c r="T296" s="8"/>
      <c r="U296" s="8" t="s">
        <v>301</v>
      </c>
      <c r="V296" s="8" t="s">
        <v>288</v>
      </c>
      <c r="W296" s="10">
        <v>10</v>
      </c>
      <c r="X296" s="11" t="s">
        <v>1086</v>
      </c>
      <c r="Y296" s="11" t="s">
        <v>1106</v>
      </c>
      <c r="Z296" s="11" t="s">
        <v>1093</v>
      </c>
    </row>
    <row r="297" ht="31" customHeight="1" spans="1:26">
      <c r="A297" s="8" t="s">
        <v>98</v>
      </c>
      <c r="B297" s="8" t="s">
        <v>99</v>
      </c>
      <c r="C297" s="8" t="s">
        <v>1107</v>
      </c>
      <c r="D297" s="8" t="s">
        <v>267</v>
      </c>
      <c r="E297" s="8" t="s">
        <v>277</v>
      </c>
      <c r="F297" s="8" t="s">
        <v>278</v>
      </c>
      <c r="G297" s="8" t="s">
        <v>90</v>
      </c>
      <c r="H297" s="8" t="s">
        <v>73</v>
      </c>
      <c r="I297" s="8" t="s">
        <v>90</v>
      </c>
      <c r="J297" s="8" t="s">
        <v>279</v>
      </c>
      <c r="K297" s="8">
        <v>0</v>
      </c>
      <c r="L297" s="8">
        <v>12</v>
      </c>
      <c r="M297" s="8">
        <v>12</v>
      </c>
      <c r="N297" s="9">
        <v>0</v>
      </c>
      <c r="O297" s="9">
        <v>0</v>
      </c>
      <c r="P297" s="9">
        <v>0</v>
      </c>
      <c r="Q297" s="9">
        <v>0</v>
      </c>
      <c r="R297" s="9">
        <v>0</v>
      </c>
      <c r="S297" s="9"/>
      <c r="T297" s="8"/>
      <c r="U297" s="8" t="s">
        <v>301</v>
      </c>
      <c r="V297" s="8" t="s">
        <v>288</v>
      </c>
      <c r="W297" s="10">
        <v>10</v>
      </c>
      <c r="X297" s="11" t="s">
        <v>1086</v>
      </c>
      <c r="Y297" s="11" t="s">
        <v>1108</v>
      </c>
      <c r="Z297" s="11" t="s">
        <v>1093</v>
      </c>
    </row>
    <row r="298" ht="31" customHeight="1" spans="1:26">
      <c r="A298" s="8" t="s">
        <v>98</v>
      </c>
      <c r="B298" s="8" t="s">
        <v>99</v>
      </c>
      <c r="C298" s="8" t="s">
        <v>1109</v>
      </c>
      <c r="D298" s="8" t="s">
        <v>267</v>
      </c>
      <c r="E298" s="8" t="s">
        <v>277</v>
      </c>
      <c r="F298" s="8" t="s">
        <v>278</v>
      </c>
      <c r="G298" s="8" t="s">
        <v>90</v>
      </c>
      <c r="H298" s="8" t="s">
        <v>73</v>
      </c>
      <c r="I298" s="8" t="s">
        <v>90</v>
      </c>
      <c r="J298" s="8" t="s">
        <v>279</v>
      </c>
      <c r="K298" s="8">
        <v>0</v>
      </c>
      <c r="L298" s="8">
        <v>14</v>
      </c>
      <c r="M298" s="8">
        <v>14</v>
      </c>
      <c r="N298" s="9">
        <v>0</v>
      </c>
      <c r="O298" s="9">
        <v>0</v>
      </c>
      <c r="P298" s="9">
        <v>0</v>
      </c>
      <c r="Q298" s="9">
        <v>8</v>
      </c>
      <c r="R298" s="9">
        <v>0</v>
      </c>
      <c r="S298" s="9"/>
      <c r="T298" s="8"/>
      <c r="U298" s="8" t="s">
        <v>301</v>
      </c>
      <c r="V298" s="8" t="s">
        <v>288</v>
      </c>
      <c r="W298" s="10">
        <v>10</v>
      </c>
      <c r="X298" s="11" t="s">
        <v>1086</v>
      </c>
      <c r="Y298" s="11" t="s">
        <v>1110</v>
      </c>
      <c r="Z298" s="11" t="s">
        <v>1093</v>
      </c>
    </row>
    <row r="299" ht="31" customHeight="1" spans="1:26">
      <c r="A299" s="8" t="s">
        <v>98</v>
      </c>
      <c r="B299" s="8" t="s">
        <v>99</v>
      </c>
      <c r="C299" s="8" t="s">
        <v>1111</v>
      </c>
      <c r="D299" s="8" t="s">
        <v>267</v>
      </c>
      <c r="E299" s="8" t="s">
        <v>277</v>
      </c>
      <c r="F299" s="8" t="s">
        <v>278</v>
      </c>
      <c r="G299" s="8" t="s">
        <v>90</v>
      </c>
      <c r="H299" s="8" t="s">
        <v>73</v>
      </c>
      <c r="I299" s="8" t="s">
        <v>90</v>
      </c>
      <c r="J299" s="8" t="s">
        <v>279</v>
      </c>
      <c r="K299" s="8">
        <v>0</v>
      </c>
      <c r="L299" s="8">
        <v>5</v>
      </c>
      <c r="M299" s="8">
        <v>5</v>
      </c>
      <c r="N299" s="9">
        <v>0</v>
      </c>
      <c r="O299" s="9">
        <v>0</v>
      </c>
      <c r="P299" s="9">
        <v>0</v>
      </c>
      <c r="Q299" s="9">
        <v>0</v>
      </c>
      <c r="R299" s="9">
        <v>0</v>
      </c>
      <c r="S299" s="9"/>
      <c r="T299" s="8"/>
      <c r="U299" s="8" t="s">
        <v>301</v>
      </c>
      <c r="V299" s="8" t="s">
        <v>288</v>
      </c>
      <c r="W299" s="10">
        <v>10</v>
      </c>
      <c r="X299" s="11" t="s">
        <v>1086</v>
      </c>
      <c r="Y299" s="11" t="s">
        <v>1112</v>
      </c>
      <c r="Z299" s="11" t="s">
        <v>1093</v>
      </c>
    </row>
    <row r="300" ht="31" customHeight="1" spans="1:26">
      <c r="A300" s="8" t="s">
        <v>98</v>
      </c>
      <c r="B300" s="8" t="s">
        <v>99</v>
      </c>
      <c r="C300" s="8" t="s">
        <v>1113</v>
      </c>
      <c r="D300" s="8" t="s">
        <v>267</v>
      </c>
      <c r="E300" s="8" t="s">
        <v>277</v>
      </c>
      <c r="F300" s="8" t="s">
        <v>278</v>
      </c>
      <c r="G300" s="8" t="s">
        <v>90</v>
      </c>
      <c r="H300" s="8" t="s">
        <v>73</v>
      </c>
      <c r="I300" s="8" t="s">
        <v>90</v>
      </c>
      <c r="J300" s="8" t="s">
        <v>279</v>
      </c>
      <c r="K300" s="8">
        <v>0</v>
      </c>
      <c r="L300" s="8">
        <v>6</v>
      </c>
      <c r="M300" s="8">
        <v>6</v>
      </c>
      <c r="N300" s="9">
        <v>0</v>
      </c>
      <c r="O300" s="9">
        <v>0</v>
      </c>
      <c r="P300" s="9">
        <v>0</v>
      </c>
      <c r="Q300" s="9">
        <v>0</v>
      </c>
      <c r="R300" s="9">
        <v>0</v>
      </c>
      <c r="S300" s="9"/>
      <c r="T300" s="8"/>
      <c r="U300" s="8" t="s">
        <v>301</v>
      </c>
      <c r="V300" s="8" t="s">
        <v>288</v>
      </c>
      <c r="W300" s="10">
        <v>10</v>
      </c>
      <c r="X300" s="11" t="s">
        <v>1086</v>
      </c>
      <c r="Y300" s="11" t="s">
        <v>1114</v>
      </c>
      <c r="Z300" s="11" t="s">
        <v>1093</v>
      </c>
    </row>
    <row r="301" ht="31" customHeight="1" spans="1:26">
      <c r="A301" s="8" t="s">
        <v>98</v>
      </c>
      <c r="B301" s="8" t="s">
        <v>99</v>
      </c>
      <c r="C301" s="8" t="s">
        <v>1115</v>
      </c>
      <c r="D301" s="8" t="s">
        <v>267</v>
      </c>
      <c r="E301" s="8" t="s">
        <v>277</v>
      </c>
      <c r="F301" s="8" t="s">
        <v>278</v>
      </c>
      <c r="G301" s="8" t="s">
        <v>90</v>
      </c>
      <c r="H301" s="8" t="s">
        <v>73</v>
      </c>
      <c r="I301" s="8" t="s">
        <v>90</v>
      </c>
      <c r="J301" s="8" t="s">
        <v>279</v>
      </c>
      <c r="K301" s="8">
        <v>0</v>
      </c>
      <c r="L301" s="8">
        <v>8</v>
      </c>
      <c r="M301" s="8">
        <v>8</v>
      </c>
      <c r="N301" s="9">
        <v>16</v>
      </c>
      <c r="O301" s="9">
        <v>0</v>
      </c>
      <c r="P301" s="9">
        <v>0</v>
      </c>
      <c r="Q301" s="9">
        <v>12</v>
      </c>
      <c r="R301" s="9">
        <v>0</v>
      </c>
      <c r="S301" s="9"/>
      <c r="T301" s="8"/>
      <c r="U301" s="8" t="s">
        <v>301</v>
      </c>
      <c r="V301" s="8" t="s">
        <v>288</v>
      </c>
      <c r="W301" s="10">
        <v>10</v>
      </c>
      <c r="X301" s="11" t="s">
        <v>1086</v>
      </c>
      <c r="Y301" s="11" t="s">
        <v>1116</v>
      </c>
      <c r="Z301" s="11" t="s">
        <v>1093</v>
      </c>
    </row>
    <row r="302" ht="31" customHeight="1" spans="1:26">
      <c r="A302" s="8" t="s">
        <v>142</v>
      </c>
      <c r="B302" s="8" t="s">
        <v>99</v>
      </c>
      <c r="C302" s="8" t="s">
        <v>1117</v>
      </c>
      <c r="D302" s="8" t="s">
        <v>267</v>
      </c>
      <c r="E302" s="8" t="s">
        <v>268</v>
      </c>
      <c r="F302" s="8" t="s">
        <v>269</v>
      </c>
      <c r="G302" s="8" t="s">
        <v>90</v>
      </c>
      <c r="H302" s="8" t="s">
        <v>90</v>
      </c>
      <c r="I302" s="8" t="s">
        <v>90</v>
      </c>
      <c r="J302" s="8" t="s">
        <v>270</v>
      </c>
      <c r="K302" s="8">
        <v>4</v>
      </c>
      <c r="L302" s="8">
        <v>4</v>
      </c>
      <c r="M302" s="8">
        <v>8</v>
      </c>
      <c r="N302" s="9">
        <v>184</v>
      </c>
      <c r="O302" s="9">
        <v>176</v>
      </c>
      <c r="P302" s="9">
        <v>168</v>
      </c>
      <c r="Q302" s="9">
        <v>168</v>
      </c>
      <c r="R302" s="9">
        <v>180</v>
      </c>
      <c r="S302" s="9">
        <v>132</v>
      </c>
      <c r="T302" s="8"/>
      <c r="U302" s="8" t="s">
        <v>272</v>
      </c>
      <c r="V302" s="8" t="s">
        <v>454</v>
      </c>
      <c r="W302" s="10">
        <v>220</v>
      </c>
      <c r="X302" s="11" t="s">
        <v>1118</v>
      </c>
      <c r="Y302" s="11" t="s">
        <v>1119</v>
      </c>
      <c r="Z302" s="11" t="s">
        <v>1120</v>
      </c>
    </row>
    <row r="303" ht="31" customHeight="1" spans="1:26">
      <c r="A303" s="8" t="s">
        <v>142</v>
      </c>
      <c r="B303" s="8" t="s">
        <v>99</v>
      </c>
      <c r="C303" s="8" t="s">
        <v>1121</v>
      </c>
      <c r="D303" s="8" t="s">
        <v>267</v>
      </c>
      <c r="E303" s="8" t="s">
        <v>286</v>
      </c>
      <c r="F303" s="8" t="s">
        <v>287</v>
      </c>
      <c r="G303" s="8" t="s">
        <v>90</v>
      </c>
      <c r="H303" s="8" t="s">
        <v>90</v>
      </c>
      <c r="I303" s="8" t="s">
        <v>90</v>
      </c>
      <c r="J303" s="8" t="s">
        <v>293</v>
      </c>
      <c r="K303" s="8">
        <v>4</v>
      </c>
      <c r="L303" s="8">
        <v>2</v>
      </c>
      <c r="M303" s="8">
        <v>6</v>
      </c>
      <c r="N303" s="9">
        <v>76</v>
      </c>
      <c r="O303" s="9">
        <v>76</v>
      </c>
      <c r="P303" s="9">
        <v>72</v>
      </c>
      <c r="Q303" s="9">
        <v>112</v>
      </c>
      <c r="R303" s="9">
        <v>96</v>
      </c>
      <c r="S303" s="9">
        <v>108</v>
      </c>
      <c r="T303" s="8"/>
      <c r="U303" s="8" t="s">
        <v>271</v>
      </c>
      <c r="V303" s="8" t="s">
        <v>272</v>
      </c>
      <c r="W303" s="10">
        <v>130</v>
      </c>
      <c r="X303" s="11" t="s">
        <v>1122</v>
      </c>
      <c r="Y303" s="11" t="s">
        <v>1123</v>
      </c>
      <c r="Z303" s="11" t="s">
        <v>1124</v>
      </c>
    </row>
    <row r="304" ht="31" customHeight="1" spans="1:26">
      <c r="A304" s="8" t="s">
        <v>142</v>
      </c>
      <c r="B304" s="8" t="s">
        <v>99</v>
      </c>
      <c r="C304" s="8" t="s">
        <v>1125</v>
      </c>
      <c r="D304" s="8" t="s">
        <v>267</v>
      </c>
      <c r="E304" s="8" t="s">
        <v>268</v>
      </c>
      <c r="F304" s="8" t="s">
        <v>269</v>
      </c>
      <c r="G304" s="8" t="s">
        <v>90</v>
      </c>
      <c r="H304" s="8" t="s">
        <v>90</v>
      </c>
      <c r="I304" s="8" t="s">
        <v>90</v>
      </c>
      <c r="J304" s="8" t="s">
        <v>279</v>
      </c>
      <c r="K304" s="8">
        <v>0</v>
      </c>
      <c r="L304" s="8">
        <v>0</v>
      </c>
      <c r="M304" s="8">
        <v>0</v>
      </c>
      <c r="N304" s="9">
        <v>16</v>
      </c>
      <c r="O304" s="9">
        <v>28</v>
      </c>
      <c r="P304" s="9">
        <v>40</v>
      </c>
      <c r="Q304" s="9">
        <v>28</v>
      </c>
      <c r="R304" s="9">
        <v>20</v>
      </c>
      <c r="S304" s="9">
        <v>4</v>
      </c>
      <c r="T304" s="8"/>
      <c r="U304" s="8" t="s">
        <v>288</v>
      </c>
      <c r="V304" s="8" t="s">
        <v>280</v>
      </c>
      <c r="W304" s="10">
        <v>40</v>
      </c>
      <c r="X304" s="11" t="s">
        <v>1126</v>
      </c>
      <c r="Y304" s="11" t="s">
        <v>1127</v>
      </c>
      <c r="Z304" s="11" t="s">
        <v>1128</v>
      </c>
    </row>
    <row r="305" ht="31" customHeight="1" spans="1:26">
      <c r="A305" s="8" t="s">
        <v>142</v>
      </c>
      <c r="B305" s="8" t="s">
        <v>99</v>
      </c>
      <c r="C305" s="8" t="s">
        <v>1129</v>
      </c>
      <c r="D305" s="8" t="s">
        <v>336</v>
      </c>
      <c r="E305" s="8" t="s">
        <v>337</v>
      </c>
      <c r="F305" s="8" t="s">
        <v>338</v>
      </c>
      <c r="G305" s="8" t="s">
        <v>90</v>
      </c>
      <c r="H305" s="8" t="s">
        <v>90</v>
      </c>
      <c r="I305" s="8" t="s">
        <v>90</v>
      </c>
      <c r="J305" s="8" t="s">
        <v>904</v>
      </c>
      <c r="K305" s="8">
        <v>1</v>
      </c>
      <c r="L305" s="8">
        <v>6</v>
      </c>
      <c r="M305" s="8">
        <v>7</v>
      </c>
      <c r="N305" s="9">
        <v>28</v>
      </c>
      <c r="O305" s="9">
        <v>4</v>
      </c>
      <c r="P305" s="9">
        <v>20</v>
      </c>
      <c r="Q305" s="9">
        <v>28</v>
      </c>
      <c r="R305" s="9">
        <v>16</v>
      </c>
      <c r="S305" s="9">
        <v>12</v>
      </c>
      <c r="T305" s="8"/>
      <c r="U305" s="8" t="s">
        <v>288</v>
      </c>
      <c r="V305" s="8" t="s">
        <v>271</v>
      </c>
      <c r="W305" s="10">
        <v>20</v>
      </c>
      <c r="X305" s="11" t="s">
        <v>1130</v>
      </c>
      <c r="Y305" s="11" t="s">
        <v>1131</v>
      </c>
      <c r="Z305" s="11" t="s">
        <v>1132</v>
      </c>
    </row>
    <row r="306" ht="31" customHeight="1" spans="1:26">
      <c r="A306" s="8" t="s">
        <v>142</v>
      </c>
      <c r="B306" s="8" t="s">
        <v>99</v>
      </c>
      <c r="C306" s="8" t="s">
        <v>1133</v>
      </c>
      <c r="D306" s="8" t="s">
        <v>336</v>
      </c>
      <c r="E306" s="8" t="s">
        <v>337</v>
      </c>
      <c r="F306" s="8" t="s">
        <v>338</v>
      </c>
      <c r="G306" s="8" t="s">
        <v>73</v>
      </c>
      <c r="H306" s="8" t="s">
        <v>73</v>
      </c>
      <c r="I306" s="8" t="s">
        <v>73</v>
      </c>
      <c r="J306" s="8" t="s">
        <v>279</v>
      </c>
      <c r="K306" s="8">
        <v>0</v>
      </c>
      <c r="L306" s="8">
        <v>6</v>
      </c>
      <c r="M306" s="8">
        <v>6</v>
      </c>
      <c r="N306" s="9">
        <v>0</v>
      </c>
      <c r="O306" s="9">
        <v>12</v>
      </c>
      <c r="P306" s="9">
        <v>8</v>
      </c>
      <c r="Q306" s="9">
        <v>0</v>
      </c>
      <c r="R306" s="9">
        <v>4</v>
      </c>
      <c r="S306" s="9">
        <v>0</v>
      </c>
      <c r="T306" s="8"/>
      <c r="U306" s="8" t="s">
        <v>288</v>
      </c>
      <c r="V306" s="8" t="s">
        <v>288</v>
      </c>
      <c r="W306" s="10">
        <v>12</v>
      </c>
      <c r="X306" s="11" t="s">
        <v>1134</v>
      </c>
      <c r="Y306" s="11" t="s">
        <v>1135</v>
      </c>
      <c r="Z306" s="11" t="s">
        <v>1136</v>
      </c>
    </row>
    <row r="307" ht="31" customHeight="1" spans="1:26">
      <c r="A307" s="8" t="s">
        <v>142</v>
      </c>
      <c r="B307" s="8" t="s">
        <v>99</v>
      </c>
      <c r="C307" s="8" t="s">
        <v>1137</v>
      </c>
      <c r="D307" s="8" t="s">
        <v>267</v>
      </c>
      <c r="E307" s="8" t="s">
        <v>277</v>
      </c>
      <c r="F307" s="8" t="s">
        <v>278</v>
      </c>
      <c r="G307" s="8" t="s">
        <v>90</v>
      </c>
      <c r="H307" s="8" t="s">
        <v>73</v>
      </c>
      <c r="I307" s="8" t="s">
        <v>90</v>
      </c>
      <c r="J307" s="8" t="s">
        <v>279</v>
      </c>
      <c r="K307" s="8">
        <v>0</v>
      </c>
      <c r="L307" s="8">
        <v>4</v>
      </c>
      <c r="M307" s="8">
        <v>4</v>
      </c>
      <c r="N307" s="9">
        <v>0</v>
      </c>
      <c r="O307" s="9">
        <v>0</v>
      </c>
      <c r="P307" s="9">
        <v>0</v>
      </c>
      <c r="Q307" s="9">
        <v>0</v>
      </c>
      <c r="R307" s="9">
        <v>0</v>
      </c>
      <c r="S307" s="9">
        <v>0</v>
      </c>
      <c r="T307" s="8"/>
      <c r="U307" s="8" t="s">
        <v>301</v>
      </c>
      <c r="V307" s="8" t="s">
        <v>280</v>
      </c>
      <c r="W307" s="10">
        <v>12</v>
      </c>
      <c r="X307" s="11" t="s">
        <v>1138</v>
      </c>
      <c r="Y307" s="11" t="s">
        <v>1139</v>
      </c>
      <c r="Z307" s="11" t="s">
        <v>1136</v>
      </c>
    </row>
    <row r="308" ht="31" customHeight="1" spans="1:26">
      <c r="A308" s="8" t="s">
        <v>142</v>
      </c>
      <c r="B308" s="8" t="s">
        <v>99</v>
      </c>
      <c r="C308" s="8" t="s">
        <v>1140</v>
      </c>
      <c r="D308" s="8" t="s">
        <v>267</v>
      </c>
      <c r="E308" s="8" t="s">
        <v>277</v>
      </c>
      <c r="F308" s="8" t="s">
        <v>278</v>
      </c>
      <c r="G308" s="8" t="s">
        <v>90</v>
      </c>
      <c r="H308" s="8" t="s">
        <v>73</v>
      </c>
      <c r="I308" s="8" t="s">
        <v>73</v>
      </c>
      <c r="J308" s="8" t="s">
        <v>279</v>
      </c>
      <c r="K308" s="8">
        <v>0</v>
      </c>
      <c r="L308" s="8">
        <v>4</v>
      </c>
      <c r="M308" s="8">
        <v>4</v>
      </c>
      <c r="N308" s="9">
        <v>4</v>
      </c>
      <c r="O308" s="9">
        <v>0</v>
      </c>
      <c r="P308" s="9">
        <v>0</v>
      </c>
      <c r="Q308" s="9">
        <v>0</v>
      </c>
      <c r="R308" s="9">
        <v>0</v>
      </c>
      <c r="S308" s="9">
        <v>4</v>
      </c>
      <c r="T308" s="8"/>
      <c r="U308" s="8" t="s">
        <v>301</v>
      </c>
      <c r="V308" s="8" t="s">
        <v>280</v>
      </c>
      <c r="W308" s="10">
        <v>12</v>
      </c>
      <c r="X308" s="11" t="s">
        <v>1138</v>
      </c>
      <c r="Y308" s="11" t="s">
        <v>1141</v>
      </c>
      <c r="Z308" s="11" t="s">
        <v>1132</v>
      </c>
    </row>
    <row r="309" ht="31" customHeight="1" spans="1:26">
      <c r="A309" s="8" t="s">
        <v>142</v>
      </c>
      <c r="B309" s="8" t="s">
        <v>99</v>
      </c>
      <c r="C309" s="8" t="s">
        <v>1142</v>
      </c>
      <c r="D309" s="8" t="s">
        <v>267</v>
      </c>
      <c r="E309" s="8" t="s">
        <v>277</v>
      </c>
      <c r="F309" s="8" t="s">
        <v>278</v>
      </c>
      <c r="G309" s="8" t="s">
        <v>90</v>
      </c>
      <c r="H309" s="8" t="s">
        <v>73</v>
      </c>
      <c r="I309" s="8" t="s">
        <v>73</v>
      </c>
      <c r="J309" s="8" t="s">
        <v>279</v>
      </c>
      <c r="K309" s="8">
        <v>0</v>
      </c>
      <c r="L309" s="8">
        <v>6</v>
      </c>
      <c r="M309" s="8">
        <v>6</v>
      </c>
      <c r="N309" s="9">
        <v>0</v>
      </c>
      <c r="O309" s="9">
        <v>8</v>
      </c>
      <c r="P309" s="9">
        <v>12</v>
      </c>
      <c r="Q309" s="9">
        <v>0</v>
      </c>
      <c r="R309" s="9">
        <v>0</v>
      </c>
      <c r="S309" s="9">
        <v>4</v>
      </c>
      <c r="T309" s="8"/>
      <c r="U309" s="8" t="s">
        <v>301</v>
      </c>
      <c r="V309" s="8" t="s">
        <v>280</v>
      </c>
      <c r="W309" s="10">
        <v>12</v>
      </c>
      <c r="X309" s="11" t="s">
        <v>1138</v>
      </c>
      <c r="Y309" s="11" t="s">
        <v>1141</v>
      </c>
      <c r="Z309" s="11" t="s">
        <v>1132</v>
      </c>
    </row>
    <row r="310" ht="31" customHeight="1" spans="1:26">
      <c r="A310" s="8" t="s">
        <v>142</v>
      </c>
      <c r="B310" s="8" t="s">
        <v>99</v>
      </c>
      <c r="C310" s="8" t="s">
        <v>1143</v>
      </c>
      <c r="D310" s="8" t="s">
        <v>336</v>
      </c>
      <c r="E310" s="8" t="s">
        <v>337</v>
      </c>
      <c r="F310" s="8" t="s">
        <v>338</v>
      </c>
      <c r="G310" s="8" t="s">
        <v>90</v>
      </c>
      <c r="H310" s="8" t="s">
        <v>90</v>
      </c>
      <c r="I310" s="8" t="s">
        <v>90</v>
      </c>
      <c r="J310" s="8" t="s">
        <v>279</v>
      </c>
      <c r="K310" s="8">
        <v>1</v>
      </c>
      <c r="L310" s="8">
        <v>6</v>
      </c>
      <c r="M310" s="8">
        <v>7</v>
      </c>
      <c r="N310" s="9">
        <v>0</v>
      </c>
      <c r="O310" s="9">
        <v>0</v>
      </c>
      <c r="P310" s="9">
        <v>0</v>
      </c>
      <c r="Q310" s="9">
        <v>0</v>
      </c>
      <c r="R310" s="9">
        <v>0</v>
      </c>
      <c r="S310" s="9">
        <v>8</v>
      </c>
      <c r="T310" s="8"/>
      <c r="U310" s="8" t="s">
        <v>301</v>
      </c>
      <c r="V310" s="8" t="s">
        <v>280</v>
      </c>
      <c r="W310" s="10">
        <v>12</v>
      </c>
      <c r="X310" s="11" t="s">
        <v>1144</v>
      </c>
      <c r="Y310" s="11" t="s">
        <v>1145</v>
      </c>
      <c r="Z310" s="11" t="s">
        <v>1146</v>
      </c>
    </row>
    <row r="311" ht="31" customHeight="1" spans="1:26">
      <c r="A311" s="8" t="s">
        <v>142</v>
      </c>
      <c r="B311" s="8" t="s">
        <v>99</v>
      </c>
      <c r="C311" s="8" t="s">
        <v>1147</v>
      </c>
      <c r="D311" s="8" t="s">
        <v>336</v>
      </c>
      <c r="E311" s="8" t="s">
        <v>337</v>
      </c>
      <c r="F311" s="8" t="s">
        <v>338</v>
      </c>
      <c r="G311" s="8" t="s">
        <v>73</v>
      </c>
      <c r="H311" s="8" t="s">
        <v>73</v>
      </c>
      <c r="I311" s="8" t="s">
        <v>90</v>
      </c>
      <c r="J311" s="8" t="s">
        <v>279</v>
      </c>
      <c r="K311" s="8">
        <v>0</v>
      </c>
      <c r="L311" s="8">
        <v>4</v>
      </c>
      <c r="M311" s="8">
        <v>4</v>
      </c>
      <c r="N311" s="9">
        <v>0</v>
      </c>
      <c r="O311" s="9">
        <v>0</v>
      </c>
      <c r="P311" s="9">
        <v>0</v>
      </c>
      <c r="Q311" s="9">
        <v>0</v>
      </c>
      <c r="R311" s="9">
        <v>0</v>
      </c>
      <c r="S311" s="9">
        <v>0</v>
      </c>
      <c r="T311" s="8"/>
      <c r="U311" s="8" t="s">
        <v>301</v>
      </c>
      <c r="V311" s="8" t="s">
        <v>288</v>
      </c>
      <c r="W311" s="10">
        <v>12</v>
      </c>
      <c r="X311" s="11" t="s">
        <v>1148</v>
      </c>
      <c r="Y311" s="11" t="s">
        <v>1149</v>
      </c>
      <c r="Z311" s="11" t="s">
        <v>1132</v>
      </c>
    </row>
    <row r="312" ht="31" customHeight="1" spans="1:26">
      <c r="A312" s="8" t="s">
        <v>142</v>
      </c>
      <c r="B312" s="8" t="s">
        <v>99</v>
      </c>
      <c r="C312" s="8" t="s">
        <v>1150</v>
      </c>
      <c r="D312" s="8" t="s">
        <v>285</v>
      </c>
      <c r="E312" s="8" t="s">
        <v>286</v>
      </c>
      <c r="F312" s="8" t="s">
        <v>287</v>
      </c>
      <c r="G312" s="8" t="s">
        <v>73</v>
      </c>
      <c r="H312" s="8" t="s">
        <v>73</v>
      </c>
      <c r="I312" s="8" t="s">
        <v>90</v>
      </c>
      <c r="J312" s="8" t="s">
        <v>279</v>
      </c>
      <c r="K312" s="8">
        <v>0</v>
      </c>
      <c r="L312" s="8">
        <v>6</v>
      </c>
      <c r="M312" s="8">
        <v>6</v>
      </c>
      <c r="N312" s="9">
        <v>0</v>
      </c>
      <c r="O312" s="9">
        <v>4</v>
      </c>
      <c r="P312" s="9">
        <v>4</v>
      </c>
      <c r="Q312" s="9">
        <v>0</v>
      </c>
      <c r="R312" s="9">
        <v>0</v>
      </c>
      <c r="S312" s="9">
        <v>0</v>
      </c>
      <c r="T312" s="8"/>
      <c r="U312" s="8" t="s">
        <v>301</v>
      </c>
      <c r="V312" s="8" t="s">
        <v>288</v>
      </c>
      <c r="W312" s="10">
        <v>12</v>
      </c>
      <c r="X312" s="11" t="s">
        <v>1151</v>
      </c>
      <c r="Y312" s="11" t="s">
        <v>1152</v>
      </c>
      <c r="Z312" s="11" t="s">
        <v>1132</v>
      </c>
    </row>
    <row r="313" ht="31" customHeight="1" spans="1:26">
      <c r="A313" s="8" t="s">
        <v>142</v>
      </c>
      <c r="B313" s="8" t="s">
        <v>99</v>
      </c>
      <c r="C313" s="8" t="s">
        <v>1153</v>
      </c>
      <c r="D313" s="8" t="s">
        <v>285</v>
      </c>
      <c r="E313" s="8" t="s">
        <v>286</v>
      </c>
      <c r="F313" s="8" t="s">
        <v>287</v>
      </c>
      <c r="G313" s="8" t="s">
        <v>73</v>
      </c>
      <c r="H313" s="8" t="s">
        <v>73</v>
      </c>
      <c r="I313" s="8" t="s">
        <v>90</v>
      </c>
      <c r="J313" s="8" t="s">
        <v>279</v>
      </c>
      <c r="K313" s="8">
        <v>0</v>
      </c>
      <c r="L313" s="8">
        <v>4</v>
      </c>
      <c r="M313" s="8">
        <v>4</v>
      </c>
      <c r="N313" s="9">
        <v>0</v>
      </c>
      <c r="O313" s="9">
        <v>0</v>
      </c>
      <c r="P313" s="9">
        <v>8</v>
      </c>
      <c r="Q313" s="9">
        <v>0</v>
      </c>
      <c r="R313" s="9">
        <v>0</v>
      </c>
      <c r="S313" s="9">
        <v>0</v>
      </c>
      <c r="T313" s="8"/>
      <c r="U313" s="8" t="s">
        <v>301</v>
      </c>
      <c r="V313" s="8" t="s">
        <v>301</v>
      </c>
      <c r="W313" s="10">
        <v>0</v>
      </c>
      <c r="X313" s="11" t="s">
        <v>1154</v>
      </c>
      <c r="Y313" s="11" t="s">
        <v>1154</v>
      </c>
      <c r="Z313" s="11" t="s">
        <v>1154</v>
      </c>
    </row>
    <row r="314" ht="31" customHeight="1" spans="1:26">
      <c r="A314" s="8" t="s">
        <v>168</v>
      </c>
      <c r="B314" s="8" t="s">
        <v>99</v>
      </c>
      <c r="C314" s="8" t="s">
        <v>1155</v>
      </c>
      <c r="D314" s="8" t="s">
        <v>267</v>
      </c>
      <c r="E314" s="8" t="s">
        <v>268</v>
      </c>
      <c r="F314" s="8" t="s">
        <v>269</v>
      </c>
      <c r="G314" s="8" t="s">
        <v>90</v>
      </c>
      <c r="H314" s="8" t="s">
        <v>90</v>
      </c>
      <c r="I314" s="8" t="s">
        <v>90</v>
      </c>
      <c r="J314" s="8" t="s">
        <v>270</v>
      </c>
      <c r="K314" s="8">
        <v>12</v>
      </c>
      <c r="L314" s="8">
        <v>4</v>
      </c>
      <c r="M314" s="8">
        <v>16</v>
      </c>
      <c r="N314" s="9">
        <v>112</v>
      </c>
      <c r="O314" s="9">
        <v>100</v>
      </c>
      <c r="P314" s="9">
        <v>128</v>
      </c>
      <c r="Q314" s="9">
        <v>124</v>
      </c>
      <c r="R314" s="9">
        <v>100</v>
      </c>
      <c r="S314" s="9"/>
      <c r="T314" s="8"/>
      <c r="U314" s="8" t="s">
        <v>271</v>
      </c>
      <c r="V314" s="8" t="s">
        <v>272</v>
      </c>
      <c r="W314" s="10">
        <v>130</v>
      </c>
      <c r="X314" s="11" t="s">
        <v>1156</v>
      </c>
      <c r="Y314" s="11" t="s">
        <v>1157</v>
      </c>
      <c r="Z314" s="11" t="s">
        <v>1158</v>
      </c>
    </row>
    <row r="315" ht="31" customHeight="1" spans="1:26">
      <c r="A315" s="8" t="s">
        <v>168</v>
      </c>
      <c r="B315" s="8" t="s">
        <v>99</v>
      </c>
      <c r="C315" s="8" t="s">
        <v>1159</v>
      </c>
      <c r="D315" s="8" t="s">
        <v>285</v>
      </c>
      <c r="E315" s="8" t="s">
        <v>286</v>
      </c>
      <c r="F315" s="8" t="s">
        <v>287</v>
      </c>
      <c r="G315" s="8" t="s">
        <v>90</v>
      </c>
      <c r="H315" s="8" t="s">
        <v>90</v>
      </c>
      <c r="I315" s="8" t="s">
        <v>90</v>
      </c>
      <c r="J315" s="8" t="s">
        <v>279</v>
      </c>
      <c r="K315" s="8">
        <v>0</v>
      </c>
      <c r="L315" s="8">
        <v>24</v>
      </c>
      <c r="M315" s="8">
        <v>24</v>
      </c>
      <c r="N315" s="9">
        <v>24</v>
      </c>
      <c r="O315" s="9">
        <v>28</v>
      </c>
      <c r="P315" s="9">
        <v>40</v>
      </c>
      <c r="Q315" s="9">
        <v>20</v>
      </c>
      <c r="R315" s="9">
        <v>52</v>
      </c>
      <c r="S315" s="9"/>
      <c r="T315" s="8"/>
      <c r="U315" s="8" t="s">
        <v>280</v>
      </c>
      <c r="V315" s="8" t="s">
        <v>271</v>
      </c>
      <c r="W315" s="10">
        <v>70</v>
      </c>
      <c r="X315" s="11" t="s">
        <v>1160</v>
      </c>
      <c r="Y315" s="11" t="s">
        <v>1161</v>
      </c>
      <c r="Z315" s="11" t="s">
        <v>1162</v>
      </c>
    </row>
    <row r="316" ht="31" customHeight="1" spans="1:26">
      <c r="A316" s="8" t="s">
        <v>168</v>
      </c>
      <c r="B316" s="8" t="s">
        <v>99</v>
      </c>
      <c r="C316" s="8" t="s">
        <v>1163</v>
      </c>
      <c r="D316" s="8" t="s">
        <v>285</v>
      </c>
      <c r="E316" s="8" t="s">
        <v>286</v>
      </c>
      <c r="F316" s="8" t="s">
        <v>287</v>
      </c>
      <c r="G316" s="8" t="s">
        <v>90</v>
      </c>
      <c r="H316" s="8" t="s">
        <v>90</v>
      </c>
      <c r="I316" s="8" t="s">
        <v>90</v>
      </c>
      <c r="J316" s="8" t="s">
        <v>279</v>
      </c>
      <c r="K316" s="8">
        <v>0</v>
      </c>
      <c r="L316" s="8">
        <v>24</v>
      </c>
      <c r="M316" s="8">
        <v>24</v>
      </c>
      <c r="N316" s="9">
        <v>0</v>
      </c>
      <c r="O316" s="9">
        <v>28</v>
      </c>
      <c r="P316" s="9">
        <v>28</v>
      </c>
      <c r="Q316" s="9">
        <v>24</v>
      </c>
      <c r="R316" s="9">
        <v>44</v>
      </c>
      <c r="S316" s="9"/>
      <c r="T316" s="8"/>
      <c r="U316" s="8" t="s">
        <v>280</v>
      </c>
      <c r="V316" s="8" t="s">
        <v>271</v>
      </c>
      <c r="W316" s="10">
        <v>70</v>
      </c>
      <c r="X316" s="11" t="s">
        <v>1164</v>
      </c>
      <c r="Y316" s="11" t="s">
        <v>1165</v>
      </c>
      <c r="Z316" s="11" t="s">
        <v>1166</v>
      </c>
    </row>
    <row r="317" ht="31" customHeight="1" spans="1:26">
      <c r="A317" s="8" t="s">
        <v>168</v>
      </c>
      <c r="B317" s="8" t="s">
        <v>99</v>
      </c>
      <c r="C317" s="8" t="s">
        <v>1167</v>
      </c>
      <c r="D317" s="8" t="s">
        <v>267</v>
      </c>
      <c r="E317" s="8" t="s">
        <v>286</v>
      </c>
      <c r="F317" s="8" t="s">
        <v>287</v>
      </c>
      <c r="G317" s="8" t="s">
        <v>90</v>
      </c>
      <c r="H317" s="8" t="s">
        <v>90</v>
      </c>
      <c r="I317" s="8" t="s">
        <v>90</v>
      </c>
      <c r="J317" s="8" t="s">
        <v>293</v>
      </c>
      <c r="K317" s="8">
        <v>4</v>
      </c>
      <c r="L317" s="8">
        <v>4</v>
      </c>
      <c r="M317" s="8">
        <v>8</v>
      </c>
      <c r="N317" s="9">
        <v>12</v>
      </c>
      <c r="O317" s="9">
        <v>44</v>
      </c>
      <c r="P317" s="9">
        <v>28</v>
      </c>
      <c r="Q317" s="9">
        <v>28</v>
      </c>
      <c r="R317" s="9">
        <v>20</v>
      </c>
      <c r="S317" s="9"/>
      <c r="T317" s="8"/>
      <c r="U317" s="8" t="s">
        <v>288</v>
      </c>
      <c r="V317" s="8" t="s">
        <v>280</v>
      </c>
      <c r="W317" s="10">
        <v>40</v>
      </c>
      <c r="X317" s="11" t="s">
        <v>1168</v>
      </c>
      <c r="Y317" s="11" t="s">
        <v>1169</v>
      </c>
      <c r="Z317" s="11" t="s">
        <v>1170</v>
      </c>
    </row>
    <row r="318" ht="20.25" customHeight="1" spans="1:26">
      <c r="A318" s="8" t="s">
        <v>168</v>
      </c>
      <c r="B318" s="8" t="s">
        <v>99</v>
      </c>
      <c r="C318" s="8" t="s">
        <v>1171</v>
      </c>
      <c r="D318" s="8" t="s">
        <v>267</v>
      </c>
      <c r="E318" s="8" t="s">
        <v>286</v>
      </c>
      <c r="F318" s="8" t="s">
        <v>287</v>
      </c>
      <c r="G318" s="8" t="s">
        <v>90</v>
      </c>
      <c r="H318" s="8" t="s">
        <v>73</v>
      </c>
      <c r="I318" s="8" t="s">
        <v>90</v>
      </c>
      <c r="J318" s="8" t="s">
        <v>293</v>
      </c>
      <c r="K318" s="8">
        <v>4</v>
      </c>
      <c r="L318" s="8">
        <v>4</v>
      </c>
      <c r="M318" s="8">
        <v>8</v>
      </c>
      <c r="N318" s="9">
        <v>0</v>
      </c>
      <c r="O318" s="9">
        <v>0</v>
      </c>
      <c r="P318" s="9">
        <v>0</v>
      </c>
      <c r="Q318" s="9">
        <v>4</v>
      </c>
      <c r="R318" s="9">
        <v>12</v>
      </c>
      <c r="S318" s="9"/>
      <c r="T318" s="8"/>
      <c r="U318" s="8" t="s">
        <v>288</v>
      </c>
      <c r="V318" s="8" t="s">
        <v>288</v>
      </c>
      <c r="W318" s="10">
        <v>20</v>
      </c>
      <c r="X318" s="11" t="s">
        <v>1172</v>
      </c>
      <c r="Y318" s="11" t="s">
        <v>1173</v>
      </c>
      <c r="Z318" s="11" t="s">
        <v>1170</v>
      </c>
    </row>
    <row r="319" ht="17.25" customHeight="1" spans="1:26">
      <c r="A319" s="8" t="s">
        <v>168</v>
      </c>
      <c r="B319" s="8" t="s">
        <v>99</v>
      </c>
      <c r="C319" s="8" t="s">
        <v>1174</v>
      </c>
      <c r="D319" s="8" t="s">
        <v>267</v>
      </c>
      <c r="E319" s="8" t="s">
        <v>277</v>
      </c>
      <c r="F319" s="8" t="s">
        <v>278</v>
      </c>
      <c r="G319" s="8" t="s">
        <v>90</v>
      </c>
      <c r="H319" s="8" t="s">
        <v>73</v>
      </c>
      <c r="I319" s="8" t="s">
        <v>90</v>
      </c>
      <c r="J319" s="8" t="s">
        <v>279</v>
      </c>
      <c r="K319" s="8">
        <v>0</v>
      </c>
      <c r="L319" s="8">
        <v>16</v>
      </c>
      <c r="M319" s="8">
        <v>16</v>
      </c>
      <c r="N319" s="9">
        <v>0</v>
      </c>
      <c r="O319" s="9">
        <v>0</v>
      </c>
      <c r="P319" s="9">
        <v>4</v>
      </c>
      <c r="Q319" s="9">
        <v>0</v>
      </c>
      <c r="R319" s="9">
        <v>4</v>
      </c>
      <c r="S319" s="9"/>
      <c r="T319" s="8"/>
      <c r="U319" s="8" t="s">
        <v>288</v>
      </c>
      <c r="V319" s="8" t="s">
        <v>288</v>
      </c>
      <c r="W319" s="10">
        <v>12</v>
      </c>
      <c r="X319" s="11" t="s">
        <v>1175</v>
      </c>
      <c r="Y319" s="11" t="s">
        <v>1176</v>
      </c>
      <c r="Z319" s="11" t="s">
        <v>1177</v>
      </c>
    </row>
    <row r="320" ht="20.25" customHeight="1" spans="1:26">
      <c r="A320" s="8" t="s">
        <v>168</v>
      </c>
      <c r="B320" s="8" t="s">
        <v>99</v>
      </c>
      <c r="C320" s="8" t="s">
        <v>1178</v>
      </c>
      <c r="D320" s="8" t="s">
        <v>267</v>
      </c>
      <c r="E320" s="8" t="s">
        <v>277</v>
      </c>
      <c r="F320" s="8" t="s">
        <v>278</v>
      </c>
      <c r="G320" s="8" t="s">
        <v>90</v>
      </c>
      <c r="H320" s="8" t="s">
        <v>73</v>
      </c>
      <c r="I320" s="8" t="s">
        <v>90</v>
      </c>
      <c r="J320" s="8" t="s">
        <v>279</v>
      </c>
      <c r="K320" s="8">
        <v>0</v>
      </c>
      <c r="L320" s="8">
        <v>2</v>
      </c>
      <c r="M320" s="8">
        <v>2</v>
      </c>
      <c r="N320" s="9">
        <v>0</v>
      </c>
      <c r="O320" s="9">
        <v>4</v>
      </c>
      <c r="P320" s="9">
        <v>4</v>
      </c>
      <c r="Q320" s="9">
        <v>4</v>
      </c>
      <c r="R320" s="9">
        <v>4</v>
      </c>
      <c r="S320" s="9"/>
      <c r="T320" s="8"/>
      <c r="U320" s="8" t="s">
        <v>288</v>
      </c>
      <c r="V320" s="8" t="s">
        <v>288</v>
      </c>
      <c r="W320" s="10">
        <v>12</v>
      </c>
      <c r="X320" s="11" t="s">
        <v>1179</v>
      </c>
      <c r="Y320" s="11" t="s">
        <v>1180</v>
      </c>
      <c r="Z320" s="11" t="s">
        <v>744</v>
      </c>
    </row>
    <row r="321" ht="22.5" customHeight="1" spans="1:26">
      <c r="A321" s="8" t="s">
        <v>168</v>
      </c>
      <c r="B321" s="8" t="s">
        <v>99</v>
      </c>
      <c r="C321" s="8" t="s">
        <v>1181</v>
      </c>
      <c r="D321" s="8" t="s">
        <v>267</v>
      </c>
      <c r="E321" s="8" t="s">
        <v>277</v>
      </c>
      <c r="F321" s="8" t="s">
        <v>278</v>
      </c>
      <c r="G321" s="8" t="s">
        <v>90</v>
      </c>
      <c r="H321" s="8" t="s">
        <v>73</v>
      </c>
      <c r="I321" s="8" t="s">
        <v>90</v>
      </c>
      <c r="J321" s="8" t="s">
        <v>279</v>
      </c>
      <c r="K321" s="8">
        <v>0</v>
      </c>
      <c r="L321" s="8">
        <v>16</v>
      </c>
      <c r="M321" s="8">
        <v>16</v>
      </c>
      <c r="N321" s="9">
        <v>4</v>
      </c>
      <c r="O321" s="9">
        <v>4</v>
      </c>
      <c r="P321" s="9">
        <v>8</v>
      </c>
      <c r="Q321" s="9">
        <v>4</v>
      </c>
      <c r="R321" s="9">
        <v>4</v>
      </c>
      <c r="S321" s="9"/>
      <c r="T321" s="8"/>
      <c r="U321" s="8" t="s">
        <v>288</v>
      </c>
      <c r="V321" s="8" t="s">
        <v>288</v>
      </c>
      <c r="W321" s="10">
        <v>12</v>
      </c>
      <c r="X321" s="11" t="s">
        <v>1182</v>
      </c>
      <c r="Y321" s="11" t="s">
        <v>1183</v>
      </c>
      <c r="Z321" s="11" t="s">
        <v>744</v>
      </c>
    </row>
    <row r="322" ht="21.75" customHeight="1" spans="1:26">
      <c r="A322" s="8" t="s">
        <v>168</v>
      </c>
      <c r="B322" s="8" t="s">
        <v>99</v>
      </c>
      <c r="C322" s="8" t="s">
        <v>1184</v>
      </c>
      <c r="D322" s="8" t="s">
        <v>267</v>
      </c>
      <c r="E322" s="8" t="s">
        <v>277</v>
      </c>
      <c r="F322" s="8" t="s">
        <v>278</v>
      </c>
      <c r="G322" s="8" t="s">
        <v>90</v>
      </c>
      <c r="H322" s="8" t="s">
        <v>73</v>
      </c>
      <c r="I322" s="8" t="s">
        <v>90</v>
      </c>
      <c r="J322" s="8" t="s">
        <v>279</v>
      </c>
      <c r="K322" s="8">
        <v>0</v>
      </c>
      <c r="L322" s="8">
        <v>8</v>
      </c>
      <c r="M322" s="8">
        <v>8</v>
      </c>
      <c r="N322" s="9">
        <v>12</v>
      </c>
      <c r="O322" s="9">
        <v>8</v>
      </c>
      <c r="P322" s="9">
        <v>4</v>
      </c>
      <c r="Q322" s="9">
        <v>4</v>
      </c>
      <c r="R322" s="9">
        <v>4</v>
      </c>
      <c r="S322" s="9"/>
      <c r="T322" s="8"/>
      <c r="U322" s="8" t="s">
        <v>288</v>
      </c>
      <c r="V322" s="8" t="s">
        <v>280</v>
      </c>
      <c r="W322" s="10">
        <v>40</v>
      </c>
      <c r="X322" s="11" t="s">
        <v>1185</v>
      </c>
      <c r="Y322" s="11" t="s">
        <v>1186</v>
      </c>
      <c r="Z322" s="11" t="s">
        <v>1166</v>
      </c>
    </row>
    <row r="323" ht="23.25" customHeight="1" spans="1:26">
      <c r="A323" s="8" t="s">
        <v>168</v>
      </c>
      <c r="B323" s="8" t="s">
        <v>99</v>
      </c>
      <c r="C323" s="8" t="s">
        <v>1187</v>
      </c>
      <c r="D323" s="8" t="s">
        <v>285</v>
      </c>
      <c r="E323" s="8" t="s">
        <v>286</v>
      </c>
      <c r="F323" s="8" t="s">
        <v>287</v>
      </c>
      <c r="G323" s="8" t="s">
        <v>90</v>
      </c>
      <c r="H323" s="8" t="s">
        <v>73</v>
      </c>
      <c r="I323" s="8" t="s">
        <v>90</v>
      </c>
      <c r="J323" s="8" t="s">
        <v>279</v>
      </c>
      <c r="K323" s="8">
        <v>0</v>
      </c>
      <c r="L323" s="8">
        <v>16</v>
      </c>
      <c r="M323" s="8">
        <v>16</v>
      </c>
      <c r="N323" s="9">
        <v>0</v>
      </c>
      <c r="O323" s="9">
        <v>0</v>
      </c>
      <c r="P323" s="9">
        <v>4</v>
      </c>
      <c r="Q323" s="9">
        <v>0</v>
      </c>
      <c r="R323" s="9">
        <v>0</v>
      </c>
      <c r="S323" s="9"/>
      <c r="T323" s="8"/>
      <c r="U323" s="8" t="s">
        <v>301</v>
      </c>
      <c r="V323" s="8" t="s">
        <v>288</v>
      </c>
      <c r="W323" s="10">
        <v>12</v>
      </c>
      <c r="X323" s="11" t="s">
        <v>1188</v>
      </c>
      <c r="Y323" s="11" t="s">
        <v>1189</v>
      </c>
      <c r="Z323" s="11" t="s">
        <v>744</v>
      </c>
    </row>
    <row r="324" ht="18.75" customHeight="1" spans="1:26">
      <c r="A324" s="8" t="s">
        <v>168</v>
      </c>
      <c r="B324" s="8" t="s">
        <v>99</v>
      </c>
      <c r="C324" s="8" t="s">
        <v>1190</v>
      </c>
      <c r="D324" s="8" t="s">
        <v>267</v>
      </c>
      <c r="E324" s="8" t="s">
        <v>277</v>
      </c>
      <c r="F324" s="8" t="s">
        <v>278</v>
      </c>
      <c r="G324" s="8" t="s">
        <v>90</v>
      </c>
      <c r="H324" s="8" t="s">
        <v>73</v>
      </c>
      <c r="I324" s="8" t="s">
        <v>90</v>
      </c>
      <c r="J324" s="8" t="s">
        <v>279</v>
      </c>
      <c r="K324" s="8">
        <v>0</v>
      </c>
      <c r="L324" s="8">
        <v>24</v>
      </c>
      <c r="M324" s="8">
        <v>24</v>
      </c>
      <c r="N324" s="9">
        <v>0</v>
      </c>
      <c r="O324" s="9">
        <v>0</v>
      </c>
      <c r="P324" s="9">
        <v>4</v>
      </c>
      <c r="Q324" s="9">
        <v>4</v>
      </c>
      <c r="R324" s="9">
        <v>0</v>
      </c>
      <c r="S324" s="9"/>
      <c r="T324" s="8"/>
      <c r="U324" s="8" t="s">
        <v>301</v>
      </c>
      <c r="V324" s="8" t="s">
        <v>288</v>
      </c>
      <c r="W324" s="10">
        <v>0</v>
      </c>
      <c r="X324" s="11" t="s">
        <v>1191</v>
      </c>
      <c r="Y324" s="11" t="s">
        <v>1192</v>
      </c>
      <c r="Z324" s="11" t="s">
        <v>744</v>
      </c>
    </row>
    <row r="325" ht="21" customHeight="1" spans="1:26">
      <c r="A325" s="8" t="s">
        <v>168</v>
      </c>
      <c r="B325" s="8" t="s">
        <v>99</v>
      </c>
      <c r="C325" s="8" t="s">
        <v>1193</v>
      </c>
      <c r="D325" s="8" t="s">
        <v>285</v>
      </c>
      <c r="E325" s="8" t="s">
        <v>286</v>
      </c>
      <c r="F325" s="8" t="s">
        <v>287</v>
      </c>
      <c r="G325" s="8" t="s">
        <v>90</v>
      </c>
      <c r="H325" s="8" t="s">
        <v>90</v>
      </c>
      <c r="I325" s="8" t="s">
        <v>90</v>
      </c>
      <c r="J325" s="8" t="s">
        <v>279</v>
      </c>
      <c r="K325" s="8">
        <v>0</v>
      </c>
      <c r="L325" s="8">
        <v>16</v>
      </c>
      <c r="M325" s="8">
        <v>16</v>
      </c>
      <c r="N325" s="9">
        <v>52</v>
      </c>
      <c r="O325" s="9">
        <v>64</v>
      </c>
      <c r="P325" s="9">
        <v>84</v>
      </c>
      <c r="Q325" s="9">
        <v>28</v>
      </c>
      <c r="R325" s="9">
        <v>0</v>
      </c>
      <c r="S325" s="9"/>
      <c r="T325" s="8"/>
      <c r="U325" s="8" t="s">
        <v>301</v>
      </c>
      <c r="V325" s="8" t="s">
        <v>301</v>
      </c>
      <c r="W325" s="10">
        <v>0</v>
      </c>
      <c r="X325" s="11" t="s">
        <v>1194</v>
      </c>
      <c r="Y325" s="11" t="s">
        <v>1195</v>
      </c>
      <c r="Z325" s="11" t="s">
        <v>744</v>
      </c>
    </row>
    <row r="326" ht="23.25" customHeight="1" spans="1:26">
      <c r="A326" s="8" t="s">
        <v>168</v>
      </c>
      <c r="B326" s="8" t="s">
        <v>99</v>
      </c>
      <c r="C326" s="8" t="s">
        <v>1196</v>
      </c>
      <c r="D326" s="8" t="s">
        <v>285</v>
      </c>
      <c r="E326" s="8" t="s">
        <v>286</v>
      </c>
      <c r="F326" s="8" t="s">
        <v>287</v>
      </c>
      <c r="G326" s="8" t="s">
        <v>90</v>
      </c>
      <c r="H326" s="8" t="s">
        <v>73</v>
      </c>
      <c r="I326" s="8" t="s">
        <v>90</v>
      </c>
      <c r="J326" s="8" t="s">
        <v>279</v>
      </c>
      <c r="K326" s="8">
        <v>0</v>
      </c>
      <c r="L326" s="8">
        <v>16</v>
      </c>
      <c r="M326" s="8">
        <v>16</v>
      </c>
      <c r="N326" s="9">
        <v>4</v>
      </c>
      <c r="O326" s="9">
        <v>0</v>
      </c>
      <c r="P326" s="9">
        <v>0</v>
      </c>
      <c r="Q326" s="9">
        <v>0</v>
      </c>
      <c r="R326" s="9">
        <v>0</v>
      </c>
      <c r="S326" s="9"/>
      <c r="T326" s="8"/>
      <c r="U326" s="8" t="s">
        <v>301</v>
      </c>
      <c r="V326" s="8" t="s">
        <v>301</v>
      </c>
      <c r="W326" s="10">
        <v>12</v>
      </c>
      <c r="X326" s="11" t="s">
        <v>1197</v>
      </c>
      <c r="Y326" s="11" t="s">
        <v>1198</v>
      </c>
      <c r="Z326" s="11" t="s">
        <v>744</v>
      </c>
    </row>
    <row r="327" ht="24" customHeight="1" spans="1:26">
      <c r="A327" s="8" t="s">
        <v>191</v>
      </c>
      <c r="B327" s="8" t="s">
        <v>51</v>
      </c>
      <c r="C327" s="8" t="s">
        <v>1199</v>
      </c>
      <c r="D327" s="8" t="s">
        <v>267</v>
      </c>
      <c r="E327" s="8" t="s">
        <v>277</v>
      </c>
      <c r="F327" s="8" t="s">
        <v>278</v>
      </c>
      <c r="G327" s="8" t="s">
        <v>90</v>
      </c>
      <c r="H327" s="8" t="s">
        <v>90</v>
      </c>
      <c r="I327" s="8" t="s">
        <v>90</v>
      </c>
      <c r="J327" s="8" t="s">
        <v>279</v>
      </c>
      <c r="K327" s="8">
        <v>0</v>
      </c>
      <c r="L327" s="8">
        <v>3</v>
      </c>
      <c r="M327" s="8">
        <v>3</v>
      </c>
      <c r="N327" s="9">
        <v>4</v>
      </c>
      <c r="O327" s="9">
        <v>28</v>
      </c>
      <c r="P327" s="9">
        <v>16</v>
      </c>
      <c r="Q327" s="9">
        <v>68</v>
      </c>
      <c r="R327" s="9">
        <v>54</v>
      </c>
      <c r="S327" s="9"/>
      <c r="T327" s="8"/>
      <c r="U327" s="8" t="s">
        <v>280</v>
      </c>
      <c r="V327" s="8" t="s">
        <v>280</v>
      </c>
      <c r="W327" s="10">
        <v>50</v>
      </c>
      <c r="X327" s="11" t="s">
        <v>1200</v>
      </c>
      <c r="Y327" s="11" t="s">
        <v>1201</v>
      </c>
      <c r="Z327" s="11" t="s">
        <v>1202</v>
      </c>
    </row>
    <row r="328" ht="24" customHeight="1" spans="1:26">
      <c r="A328" s="8" t="s">
        <v>191</v>
      </c>
      <c r="B328" s="8" t="s">
        <v>51</v>
      </c>
      <c r="C328" s="8" t="s">
        <v>1203</v>
      </c>
      <c r="D328" s="8" t="s">
        <v>267</v>
      </c>
      <c r="E328" s="8" t="s">
        <v>268</v>
      </c>
      <c r="F328" s="8" t="s">
        <v>269</v>
      </c>
      <c r="G328" s="8" t="s">
        <v>90</v>
      </c>
      <c r="H328" s="8" t="s">
        <v>90</v>
      </c>
      <c r="I328" s="8" t="s">
        <v>90</v>
      </c>
      <c r="J328" s="8" t="s">
        <v>279</v>
      </c>
      <c r="K328" s="8">
        <v>0</v>
      </c>
      <c r="L328" s="8">
        <v>4</v>
      </c>
      <c r="M328" s="8">
        <v>4</v>
      </c>
      <c r="N328" s="9">
        <v>60</v>
      </c>
      <c r="O328" s="9">
        <v>96</v>
      </c>
      <c r="P328" s="9">
        <v>84</v>
      </c>
      <c r="Q328" s="9">
        <v>40</v>
      </c>
      <c r="R328" s="9">
        <v>28</v>
      </c>
      <c r="S328" s="9"/>
      <c r="T328" s="8"/>
      <c r="U328" s="8" t="s">
        <v>288</v>
      </c>
      <c r="V328" s="8" t="s">
        <v>280</v>
      </c>
      <c r="W328" s="10">
        <v>40</v>
      </c>
      <c r="X328" s="11" t="s">
        <v>1204</v>
      </c>
      <c r="Y328" s="11" t="s">
        <v>1205</v>
      </c>
      <c r="Z328" s="11" t="s">
        <v>1206</v>
      </c>
    </row>
    <row r="329" ht="20.25" customHeight="1" spans="1:26">
      <c r="A329" s="8" t="s">
        <v>191</v>
      </c>
      <c r="B329" s="8" t="s">
        <v>51</v>
      </c>
      <c r="C329" s="8" t="s">
        <v>1207</v>
      </c>
      <c r="D329" s="8" t="s">
        <v>267</v>
      </c>
      <c r="E329" s="8" t="s">
        <v>277</v>
      </c>
      <c r="F329" s="8" t="s">
        <v>278</v>
      </c>
      <c r="G329" s="8" t="s">
        <v>90</v>
      </c>
      <c r="H329" s="8" t="s">
        <v>90</v>
      </c>
      <c r="I329" s="8" t="s">
        <v>90</v>
      </c>
      <c r="J329" s="8" t="s">
        <v>279</v>
      </c>
      <c r="K329" s="8">
        <v>0</v>
      </c>
      <c r="L329" s="8">
        <v>6</v>
      </c>
      <c r="M329" s="8">
        <v>6</v>
      </c>
      <c r="N329" s="9">
        <v>40</v>
      </c>
      <c r="O329" s="9">
        <v>12</v>
      </c>
      <c r="P329" s="9">
        <v>12</v>
      </c>
      <c r="Q329" s="9">
        <v>88</v>
      </c>
      <c r="R329" s="9">
        <v>28</v>
      </c>
      <c r="S329" s="9"/>
      <c r="T329" s="8"/>
      <c r="U329" s="8" t="s">
        <v>288</v>
      </c>
      <c r="V329" s="8" t="s">
        <v>280</v>
      </c>
      <c r="W329" s="10">
        <v>30</v>
      </c>
      <c r="X329" s="11" t="s">
        <v>1208</v>
      </c>
      <c r="Y329" s="11" t="s">
        <v>1209</v>
      </c>
      <c r="Z329" s="11" t="s">
        <v>1210</v>
      </c>
    </row>
    <row r="330" ht="82.5" customHeight="1" spans="1:26">
      <c r="A330" s="8" t="s">
        <v>191</v>
      </c>
      <c r="B330" s="8" t="s">
        <v>51</v>
      </c>
      <c r="C330" s="8" t="s">
        <v>1211</v>
      </c>
      <c r="D330" s="8" t="s">
        <v>267</v>
      </c>
      <c r="E330" s="8" t="s">
        <v>277</v>
      </c>
      <c r="F330" s="8" t="s">
        <v>278</v>
      </c>
      <c r="G330" s="8" t="s">
        <v>90</v>
      </c>
      <c r="H330" s="8" t="s">
        <v>90</v>
      </c>
      <c r="I330" s="8" t="s">
        <v>90</v>
      </c>
      <c r="J330" s="8" t="s">
        <v>279</v>
      </c>
      <c r="K330" s="8">
        <v>0</v>
      </c>
      <c r="L330" s="8">
        <v>4</v>
      </c>
      <c r="M330" s="8">
        <v>4</v>
      </c>
      <c r="N330" s="9">
        <v>12</v>
      </c>
      <c r="O330" s="9">
        <v>28</v>
      </c>
      <c r="P330" s="9">
        <v>32</v>
      </c>
      <c r="Q330" s="9">
        <v>16</v>
      </c>
      <c r="R330" s="9">
        <v>20</v>
      </c>
      <c r="S330" s="9"/>
      <c r="T330" s="8"/>
      <c r="U330" s="8" t="s">
        <v>288</v>
      </c>
      <c r="V330" s="8" t="s">
        <v>280</v>
      </c>
      <c r="W330" s="10">
        <v>30</v>
      </c>
      <c r="X330" s="11" t="s">
        <v>1208</v>
      </c>
      <c r="Y330" s="11" t="s">
        <v>1209</v>
      </c>
      <c r="Z330" s="11" t="s">
        <v>1212</v>
      </c>
    </row>
    <row r="331" ht="66" customHeight="1" spans="1:26">
      <c r="A331" s="8" t="s">
        <v>191</v>
      </c>
      <c r="B331" s="8" t="s">
        <v>51</v>
      </c>
      <c r="C331" s="8" t="s">
        <v>1213</v>
      </c>
      <c r="D331" s="8" t="s">
        <v>267</v>
      </c>
      <c r="E331" s="8" t="s">
        <v>268</v>
      </c>
      <c r="F331" s="8" t="s">
        <v>269</v>
      </c>
      <c r="G331" s="8" t="s">
        <v>90</v>
      </c>
      <c r="H331" s="8" t="s">
        <v>90</v>
      </c>
      <c r="I331" s="8" t="s">
        <v>90</v>
      </c>
      <c r="J331" s="8" t="s">
        <v>279</v>
      </c>
      <c r="K331" s="8">
        <v>0</v>
      </c>
      <c r="L331" s="8">
        <v>4</v>
      </c>
      <c r="M331" s="8">
        <v>4</v>
      </c>
      <c r="N331" s="9">
        <v>76</v>
      </c>
      <c r="O331" s="9">
        <v>76</v>
      </c>
      <c r="P331" s="9">
        <v>52</v>
      </c>
      <c r="Q331" s="9">
        <v>28</v>
      </c>
      <c r="R331" s="9">
        <v>12</v>
      </c>
      <c r="S331" s="9"/>
      <c r="T331" s="8"/>
      <c r="U331" s="8" t="s">
        <v>288</v>
      </c>
      <c r="V331" s="8" t="s">
        <v>280</v>
      </c>
      <c r="W331" s="10">
        <v>0</v>
      </c>
      <c r="X331" s="11" t="s">
        <v>1214</v>
      </c>
      <c r="Y331" s="11" t="s">
        <v>1215</v>
      </c>
      <c r="Z331" s="11" t="s">
        <v>1216</v>
      </c>
    </row>
    <row r="332" ht="33" customHeight="1" spans="1:26">
      <c r="A332" s="8" t="s">
        <v>191</v>
      </c>
      <c r="B332" s="8" t="s">
        <v>51</v>
      </c>
      <c r="C332" s="8" t="s">
        <v>1217</v>
      </c>
      <c r="D332" s="8" t="s">
        <v>267</v>
      </c>
      <c r="E332" s="8" t="s">
        <v>277</v>
      </c>
      <c r="F332" s="8" t="s">
        <v>278</v>
      </c>
      <c r="G332" s="8" t="s">
        <v>90</v>
      </c>
      <c r="H332" s="8" t="s">
        <v>73</v>
      </c>
      <c r="I332" s="8" t="s">
        <v>90</v>
      </c>
      <c r="J332" s="8" t="s">
        <v>279</v>
      </c>
      <c r="K332" s="8">
        <v>0</v>
      </c>
      <c r="L332" s="8">
        <v>8</v>
      </c>
      <c r="M332" s="8">
        <v>8</v>
      </c>
      <c r="N332" s="9">
        <v>0</v>
      </c>
      <c r="O332" s="9">
        <v>0</v>
      </c>
      <c r="P332" s="9">
        <v>0</v>
      </c>
      <c r="Q332" s="9">
        <v>0</v>
      </c>
      <c r="R332" s="9">
        <v>12</v>
      </c>
      <c r="S332" s="9"/>
      <c r="T332" s="8"/>
      <c r="U332" s="8" t="s">
        <v>288</v>
      </c>
      <c r="V332" s="8" t="s">
        <v>288</v>
      </c>
      <c r="W332" s="10">
        <v>15</v>
      </c>
      <c r="X332" s="11" t="s">
        <v>1218</v>
      </c>
      <c r="Y332" s="11" t="s">
        <v>1219</v>
      </c>
      <c r="Z332" s="11" t="s">
        <v>1220</v>
      </c>
    </row>
    <row r="333" ht="49.5" customHeight="1" spans="1:26">
      <c r="A333" s="8" t="s">
        <v>191</v>
      </c>
      <c r="B333" s="8" t="s">
        <v>51</v>
      </c>
      <c r="C333" s="8" t="s">
        <v>1221</v>
      </c>
      <c r="D333" s="8" t="s">
        <v>267</v>
      </c>
      <c r="E333" s="8" t="s">
        <v>277</v>
      </c>
      <c r="F333" s="8" t="s">
        <v>278</v>
      </c>
      <c r="G333" s="8" t="s">
        <v>90</v>
      </c>
      <c r="H333" s="8" t="s">
        <v>73</v>
      </c>
      <c r="I333" s="8" t="s">
        <v>90</v>
      </c>
      <c r="J333" s="8" t="s">
        <v>279</v>
      </c>
      <c r="K333" s="8">
        <v>0</v>
      </c>
      <c r="L333" s="8">
        <v>8</v>
      </c>
      <c r="M333" s="8">
        <v>8</v>
      </c>
      <c r="N333" s="9">
        <v>2</v>
      </c>
      <c r="O333" s="9">
        <v>2</v>
      </c>
      <c r="P333" s="9">
        <v>16</v>
      </c>
      <c r="Q333" s="9">
        <v>9</v>
      </c>
      <c r="R333" s="9">
        <v>12</v>
      </c>
      <c r="S333" s="9"/>
      <c r="T333" s="8"/>
      <c r="U333" s="8" t="s">
        <v>288</v>
      </c>
      <c r="V333" s="8" t="s">
        <v>288</v>
      </c>
      <c r="W333" s="10">
        <v>15</v>
      </c>
      <c r="X333" s="11" t="s">
        <v>1208</v>
      </c>
      <c r="Y333" s="11" t="s">
        <v>1219</v>
      </c>
      <c r="Z333" s="11" t="s">
        <v>1220</v>
      </c>
    </row>
    <row r="334" ht="33" customHeight="1" spans="1:26">
      <c r="A334" s="8" t="s">
        <v>191</v>
      </c>
      <c r="B334" s="8" t="s">
        <v>51</v>
      </c>
      <c r="C334" s="8" t="s">
        <v>1222</v>
      </c>
      <c r="D334" s="8" t="s">
        <v>267</v>
      </c>
      <c r="E334" s="8" t="s">
        <v>277</v>
      </c>
      <c r="F334" s="8" t="s">
        <v>278</v>
      </c>
      <c r="G334" s="8" t="s">
        <v>90</v>
      </c>
      <c r="H334" s="8" t="s">
        <v>90</v>
      </c>
      <c r="I334" s="8" t="s">
        <v>90</v>
      </c>
      <c r="J334" s="8" t="s">
        <v>279</v>
      </c>
      <c r="K334" s="8">
        <v>0</v>
      </c>
      <c r="L334" s="8">
        <v>5</v>
      </c>
      <c r="M334" s="8">
        <v>5</v>
      </c>
      <c r="N334" s="9">
        <v>0</v>
      </c>
      <c r="O334" s="9">
        <v>32</v>
      </c>
      <c r="P334" s="9">
        <v>12</v>
      </c>
      <c r="Q334" s="9">
        <v>12</v>
      </c>
      <c r="R334" s="9">
        <v>8</v>
      </c>
      <c r="S334" s="9"/>
      <c r="T334" s="8"/>
      <c r="U334" s="8" t="s">
        <v>288</v>
      </c>
      <c r="V334" s="8" t="s">
        <v>280</v>
      </c>
      <c r="W334" s="10">
        <v>30</v>
      </c>
      <c r="X334" s="11" t="s">
        <v>1204</v>
      </c>
      <c r="Y334" s="11" t="s">
        <v>1223</v>
      </c>
      <c r="Z334" s="11" t="s">
        <v>1224</v>
      </c>
    </row>
    <row r="335" ht="33" customHeight="1" spans="1:26">
      <c r="A335" s="8" t="s">
        <v>191</v>
      </c>
      <c r="B335" s="8" t="s">
        <v>51</v>
      </c>
      <c r="C335" s="8" t="s">
        <v>1225</v>
      </c>
      <c r="D335" s="8" t="s">
        <v>267</v>
      </c>
      <c r="E335" s="8" t="s">
        <v>277</v>
      </c>
      <c r="F335" s="8" t="s">
        <v>278</v>
      </c>
      <c r="G335" s="8" t="s">
        <v>90</v>
      </c>
      <c r="H335" s="8" t="s">
        <v>90</v>
      </c>
      <c r="I335" s="8" t="s">
        <v>90</v>
      </c>
      <c r="J335" s="8" t="s">
        <v>279</v>
      </c>
      <c r="K335" s="8">
        <v>0</v>
      </c>
      <c r="L335" s="8">
        <v>5</v>
      </c>
      <c r="M335" s="8">
        <v>5</v>
      </c>
      <c r="N335" s="9">
        <v>0</v>
      </c>
      <c r="O335" s="9">
        <v>0</v>
      </c>
      <c r="P335" s="9">
        <v>0</v>
      </c>
      <c r="Q335" s="9">
        <v>0</v>
      </c>
      <c r="R335" s="9">
        <v>0</v>
      </c>
      <c r="S335" s="9"/>
      <c r="T335" s="8"/>
      <c r="U335" s="8" t="s">
        <v>301</v>
      </c>
      <c r="V335" s="8" t="s">
        <v>288</v>
      </c>
      <c r="W335" s="10">
        <v>20</v>
      </c>
      <c r="X335" s="11" t="s">
        <v>1204</v>
      </c>
      <c r="Y335" s="11" t="s">
        <v>1226</v>
      </c>
      <c r="Z335" s="11" t="s">
        <v>1227</v>
      </c>
    </row>
    <row r="336" ht="33" customHeight="1" spans="1:26">
      <c r="A336" s="8" t="s">
        <v>191</v>
      </c>
      <c r="B336" s="8" t="s">
        <v>51</v>
      </c>
      <c r="C336" s="8" t="s">
        <v>1228</v>
      </c>
      <c r="D336" s="8" t="s">
        <v>267</v>
      </c>
      <c r="E336" s="8" t="s">
        <v>277</v>
      </c>
      <c r="F336" s="8" t="s">
        <v>278</v>
      </c>
      <c r="G336" s="8" t="s">
        <v>90</v>
      </c>
      <c r="H336" s="8" t="s">
        <v>90</v>
      </c>
      <c r="I336" s="8" t="s">
        <v>90</v>
      </c>
      <c r="J336" s="8" t="s">
        <v>279</v>
      </c>
      <c r="K336" s="8">
        <v>0</v>
      </c>
      <c r="L336" s="8">
        <v>2</v>
      </c>
      <c r="M336" s="8">
        <v>2</v>
      </c>
      <c r="N336" s="9">
        <v>0</v>
      </c>
      <c r="O336" s="9">
        <v>32</v>
      </c>
      <c r="P336" s="9">
        <v>16</v>
      </c>
      <c r="Q336" s="9">
        <v>13</v>
      </c>
      <c r="R336" s="9">
        <v>0</v>
      </c>
      <c r="S336" s="9"/>
      <c r="T336" s="8"/>
      <c r="U336" s="8" t="s">
        <v>301</v>
      </c>
      <c r="V336" s="8" t="s">
        <v>288</v>
      </c>
      <c r="W336" s="10">
        <v>20</v>
      </c>
      <c r="X336" s="11" t="s">
        <v>1208</v>
      </c>
      <c r="Y336" s="11" t="s">
        <v>1219</v>
      </c>
      <c r="Z336" s="11" t="s">
        <v>1220</v>
      </c>
    </row>
    <row r="337" ht="33" customHeight="1" spans="1:26">
      <c r="A337" s="8" t="s">
        <v>191</v>
      </c>
      <c r="B337" s="8" t="s">
        <v>51</v>
      </c>
      <c r="C337" s="8" t="s">
        <v>1229</v>
      </c>
      <c r="D337" s="8" t="s">
        <v>267</v>
      </c>
      <c r="E337" s="8" t="s">
        <v>277</v>
      </c>
      <c r="F337" s="8" t="s">
        <v>278</v>
      </c>
      <c r="G337" s="8" t="s">
        <v>90</v>
      </c>
      <c r="H337" s="8" t="s">
        <v>90</v>
      </c>
      <c r="I337" s="8" t="s">
        <v>90</v>
      </c>
      <c r="J337" s="8" t="s">
        <v>279</v>
      </c>
      <c r="K337" s="8">
        <v>0</v>
      </c>
      <c r="L337" s="8">
        <v>4</v>
      </c>
      <c r="M337" s="8">
        <v>4</v>
      </c>
      <c r="N337" s="9">
        <v>0</v>
      </c>
      <c r="O337" s="9">
        <v>0</v>
      </c>
      <c r="P337" s="9">
        <v>4</v>
      </c>
      <c r="Q337" s="9">
        <v>0</v>
      </c>
      <c r="R337" s="9">
        <v>0</v>
      </c>
      <c r="S337" s="9"/>
      <c r="T337" s="8"/>
      <c r="U337" s="8" t="s">
        <v>301</v>
      </c>
      <c r="V337" s="8" t="s">
        <v>288</v>
      </c>
      <c r="W337" s="10">
        <v>10</v>
      </c>
      <c r="X337" s="11" t="s">
        <v>1204</v>
      </c>
      <c r="Y337" s="11" t="s">
        <v>1219</v>
      </c>
      <c r="Z337" s="11" t="s">
        <v>1220</v>
      </c>
    </row>
    <row r="338" ht="33" customHeight="1" spans="1:26">
      <c r="A338" s="8" t="s">
        <v>191</v>
      </c>
      <c r="B338" s="8" t="s">
        <v>51</v>
      </c>
      <c r="C338" s="8" t="s">
        <v>1230</v>
      </c>
      <c r="D338" s="8" t="s">
        <v>285</v>
      </c>
      <c r="E338" s="8" t="s">
        <v>286</v>
      </c>
      <c r="F338" s="8" t="s">
        <v>287</v>
      </c>
      <c r="G338" s="8" t="s">
        <v>90</v>
      </c>
      <c r="H338" s="8" t="s">
        <v>90</v>
      </c>
      <c r="I338" s="8" t="s">
        <v>90</v>
      </c>
      <c r="J338" s="8" t="s">
        <v>293</v>
      </c>
      <c r="K338" s="8">
        <v>16</v>
      </c>
      <c r="L338" s="8">
        <v>0</v>
      </c>
      <c r="M338" s="8">
        <v>16</v>
      </c>
      <c r="N338" s="9">
        <v>0</v>
      </c>
      <c r="O338" s="9">
        <v>0</v>
      </c>
      <c r="P338" s="9">
        <v>0</v>
      </c>
      <c r="Q338" s="9">
        <v>0</v>
      </c>
      <c r="R338" s="9">
        <v>0</v>
      </c>
      <c r="S338" s="9"/>
      <c r="T338" s="8"/>
      <c r="U338" s="8" t="s">
        <v>301</v>
      </c>
      <c r="V338" s="8" t="s">
        <v>288</v>
      </c>
      <c r="W338" s="10">
        <v>15</v>
      </c>
      <c r="X338" s="11" t="s">
        <v>1231</v>
      </c>
      <c r="Y338" s="11" t="s">
        <v>1232</v>
      </c>
      <c r="Z338" s="11" t="s">
        <v>1233</v>
      </c>
    </row>
    <row r="339" ht="46" customHeight="1" spans="1:26">
      <c r="A339" s="8" t="s">
        <v>191</v>
      </c>
      <c r="B339" s="8" t="s">
        <v>51</v>
      </c>
      <c r="C339" s="8" t="s">
        <v>1234</v>
      </c>
      <c r="D339" s="8" t="s">
        <v>285</v>
      </c>
      <c r="E339" s="8" t="s">
        <v>286</v>
      </c>
      <c r="F339" s="8" t="s">
        <v>287</v>
      </c>
      <c r="G339" s="8" t="s">
        <v>90</v>
      </c>
      <c r="H339" s="8" t="s">
        <v>90</v>
      </c>
      <c r="I339" s="8" t="s">
        <v>90</v>
      </c>
      <c r="J339" s="8" t="s">
        <v>279</v>
      </c>
      <c r="K339" s="8">
        <v>0</v>
      </c>
      <c r="L339" s="8">
        <v>20</v>
      </c>
      <c r="M339" s="8">
        <v>20</v>
      </c>
      <c r="N339" s="9">
        <v>0</v>
      </c>
      <c r="O339" s="9">
        <v>0</v>
      </c>
      <c r="P339" s="9">
        <v>0</v>
      </c>
      <c r="Q339" s="9">
        <v>0</v>
      </c>
      <c r="R339" s="9">
        <v>0</v>
      </c>
      <c r="S339" s="9"/>
      <c r="T339" s="8"/>
      <c r="U339" s="8" t="s">
        <v>301</v>
      </c>
      <c r="V339" s="8" t="s">
        <v>280</v>
      </c>
      <c r="W339" s="10">
        <v>10</v>
      </c>
      <c r="X339" s="11" t="s">
        <v>1231</v>
      </c>
      <c r="Y339" s="11" t="s">
        <v>1232</v>
      </c>
      <c r="Z339" s="11" t="s">
        <v>1233</v>
      </c>
    </row>
    <row r="340" ht="92" customHeight="1" spans="1:26">
      <c r="A340" s="8" t="s">
        <v>191</v>
      </c>
      <c r="B340" s="8" t="s">
        <v>51</v>
      </c>
      <c r="C340" s="8" t="s">
        <v>1235</v>
      </c>
      <c r="D340" s="8" t="s">
        <v>267</v>
      </c>
      <c r="E340" s="8" t="s">
        <v>277</v>
      </c>
      <c r="F340" s="8" t="s">
        <v>278</v>
      </c>
      <c r="G340" s="8" t="s">
        <v>90</v>
      </c>
      <c r="H340" s="8" t="s">
        <v>73</v>
      </c>
      <c r="I340" s="8" t="s">
        <v>90</v>
      </c>
      <c r="J340" s="8" t="s">
        <v>279</v>
      </c>
      <c r="K340" s="8">
        <v>0</v>
      </c>
      <c r="L340" s="8">
        <v>8</v>
      </c>
      <c r="M340" s="8">
        <v>8</v>
      </c>
      <c r="N340" s="9">
        <v>0</v>
      </c>
      <c r="O340" s="9">
        <v>0</v>
      </c>
      <c r="P340" s="9">
        <v>8</v>
      </c>
      <c r="Q340" s="9">
        <v>1</v>
      </c>
      <c r="R340" s="9">
        <v>0</v>
      </c>
      <c r="S340" s="9"/>
      <c r="T340" s="8"/>
      <c r="U340" s="8" t="s">
        <v>301</v>
      </c>
      <c r="V340" s="8" t="s">
        <v>301</v>
      </c>
      <c r="W340" s="10">
        <v>10</v>
      </c>
      <c r="X340" s="11" t="s">
        <v>1236</v>
      </c>
      <c r="Y340" s="11" t="s">
        <v>1219</v>
      </c>
      <c r="Z340" s="11" t="s">
        <v>1220</v>
      </c>
    </row>
    <row r="341" ht="92" customHeight="1" spans="1:26">
      <c r="A341" s="8" t="s">
        <v>191</v>
      </c>
      <c r="B341" s="8" t="s">
        <v>51</v>
      </c>
      <c r="C341" s="8" t="s">
        <v>1237</v>
      </c>
      <c r="D341" s="8" t="s">
        <v>267</v>
      </c>
      <c r="E341" s="8" t="s">
        <v>277</v>
      </c>
      <c r="F341" s="8" t="s">
        <v>278</v>
      </c>
      <c r="G341" s="8" t="s">
        <v>90</v>
      </c>
      <c r="H341" s="8" t="s">
        <v>73</v>
      </c>
      <c r="I341" s="8" t="s">
        <v>90</v>
      </c>
      <c r="J341" s="8" t="s">
        <v>279</v>
      </c>
      <c r="K341" s="8">
        <v>0</v>
      </c>
      <c r="L341" s="8">
        <v>8</v>
      </c>
      <c r="M341" s="8">
        <v>8</v>
      </c>
      <c r="N341" s="9">
        <v>6</v>
      </c>
      <c r="O341" s="9">
        <v>14</v>
      </c>
      <c r="P341" s="9">
        <v>4</v>
      </c>
      <c r="Q341" s="9">
        <v>25</v>
      </c>
      <c r="R341" s="9">
        <v>0</v>
      </c>
      <c r="S341" s="9"/>
      <c r="T341" s="8"/>
      <c r="U341" s="8" t="s">
        <v>301</v>
      </c>
      <c r="V341" s="8" t="s">
        <v>301</v>
      </c>
      <c r="W341" s="10">
        <v>10</v>
      </c>
      <c r="X341" s="11" t="s">
        <v>1236</v>
      </c>
      <c r="Y341" s="11" t="s">
        <v>1219</v>
      </c>
      <c r="Z341" s="11" t="s">
        <v>1220</v>
      </c>
    </row>
    <row r="342" ht="107" customHeight="1" spans="1:26">
      <c r="A342" s="8" t="s">
        <v>191</v>
      </c>
      <c r="B342" s="8" t="s">
        <v>51</v>
      </c>
      <c r="C342" s="8" t="s">
        <v>1238</v>
      </c>
      <c r="D342" s="8" t="s">
        <v>267</v>
      </c>
      <c r="E342" s="8" t="s">
        <v>277</v>
      </c>
      <c r="F342" s="8" t="s">
        <v>278</v>
      </c>
      <c r="G342" s="8" t="s">
        <v>90</v>
      </c>
      <c r="H342" s="8" t="s">
        <v>73</v>
      </c>
      <c r="I342" s="8" t="s">
        <v>90</v>
      </c>
      <c r="J342" s="8" t="s">
        <v>279</v>
      </c>
      <c r="K342" s="8">
        <v>0</v>
      </c>
      <c r="L342" s="8">
        <v>8</v>
      </c>
      <c r="M342" s="8">
        <v>8</v>
      </c>
      <c r="N342" s="9">
        <v>0</v>
      </c>
      <c r="O342" s="9">
        <v>0</v>
      </c>
      <c r="P342" s="9">
        <v>16</v>
      </c>
      <c r="Q342" s="9">
        <v>0</v>
      </c>
      <c r="R342" s="9">
        <v>0</v>
      </c>
      <c r="S342" s="9"/>
      <c r="T342" s="8"/>
      <c r="U342" s="8" t="s">
        <v>301</v>
      </c>
      <c r="V342" s="8" t="s">
        <v>301</v>
      </c>
      <c r="W342" s="10">
        <v>10</v>
      </c>
      <c r="X342" s="11" t="s">
        <v>1236</v>
      </c>
      <c r="Y342" s="11" t="s">
        <v>1219</v>
      </c>
      <c r="Z342" s="11" t="s">
        <v>1220</v>
      </c>
    </row>
    <row r="343" ht="61" customHeight="1" spans="1:26">
      <c r="A343" s="8" t="s">
        <v>191</v>
      </c>
      <c r="B343" s="8" t="s">
        <v>51</v>
      </c>
      <c r="C343" s="8" t="s">
        <v>1239</v>
      </c>
      <c r="D343" s="8" t="s">
        <v>267</v>
      </c>
      <c r="E343" s="8" t="s">
        <v>277</v>
      </c>
      <c r="F343" s="8" t="s">
        <v>278</v>
      </c>
      <c r="G343" s="8" t="s">
        <v>90</v>
      </c>
      <c r="H343" s="8" t="s">
        <v>73</v>
      </c>
      <c r="I343" s="8" t="s">
        <v>90</v>
      </c>
      <c r="J343" s="8" t="s">
        <v>279</v>
      </c>
      <c r="K343" s="8">
        <v>0</v>
      </c>
      <c r="L343" s="8">
        <v>8</v>
      </c>
      <c r="M343" s="8">
        <v>8</v>
      </c>
      <c r="N343" s="9">
        <v>0</v>
      </c>
      <c r="O343" s="9">
        <v>0</v>
      </c>
      <c r="P343" s="9">
        <v>4</v>
      </c>
      <c r="Q343" s="9">
        <v>0</v>
      </c>
      <c r="R343" s="9">
        <v>0</v>
      </c>
      <c r="S343" s="9"/>
      <c r="T343" s="8"/>
      <c r="U343" s="8" t="s">
        <v>301</v>
      </c>
      <c r="V343" s="8" t="s">
        <v>301</v>
      </c>
      <c r="W343" s="10">
        <v>10</v>
      </c>
      <c r="X343" s="11" t="s">
        <v>1236</v>
      </c>
      <c r="Y343" s="11" t="s">
        <v>1219</v>
      </c>
      <c r="Z343" s="11" t="s">
        <v>1220</v>
      </c>
    </row>
    <row r="344" ht="46" customHeight="1" spans="1:26">
      <c r="A344" s="8" t="s">
        <v>208</v>
      </c>
      <c r="B344" s="8" t="s">
        <v>99</v>
      </c>
      <c r="C344" s="8" t="s">
        <v>1240</v>
      </c>
      <c r="D344" s="8" t="s">
        <v>267</v>
      </c>
      <c r="E344" s="8" t="s">
        <v>268</v>
      </c>
      <c r="F344" s="8" t="s">
        <v>269</v>
      </c>
      <c r="G344" s="8" t="s">
        <v>90</v>
      </c>
      <c r="H344" s="8" t="s">
        <v>73</v>
      </c>
      <c r="I344" s="8" t="s">
        <v>90</v>
      </c>
      <c r="J344" s="8" t="s">
        <v>270</v>
      </c>
      <c r="K344" s="8">
        <v>8</v>
      </c>
      <c r="L344" s="8">
        <v>0</v>
      </c>
      <c r="M344" s="8">
        <v>8</v>
      </c>
      <c r="N344" s="9">
        <v>4</v>
      </c>
      <c r="O344" s="9">
        <v>20</v>
      </c>
      <c r="P344" s="9">
        <v>20</v>
      </c>
      <c r="Q344" s="9">
        <v>48</v>
      </c>
      <c r="R344" s="9">
        <v>32</v>
      </c>
      <c r="S344" s="9"/>
      <c r="T344" s="8"/>
      <c r="U344" s="8" t="s">
        <v>280</v>
      </c>
      <c r="V344" s="8" t="s">
        <v>271</v>
      </c>
      <c r="W344" s="10">
        <v>48</v>
      </c>
      <c r="X344" s="11" t="s">
        <v>1134</v>
      </c>
      <c r="Y344" s="11" t="s">
        <v>1241</v>
      </c>
      <c r="Z344" s="11" t="s">
        <v>1242</v>
      </c>
    </row>
    <row r="345" ht="76" customHeight="1" spans="1:26">
      <c r="A345" s="8" t="s">
        <v>208</v>
      </c>
      <c r="B345" s="8" t="s">
        <v>99</v>
      </c>
      <c r="C345" s="8" t="s">
        <v>1243</v>
      </c>
      <c r="D345" s="8" t="s">
        <v>267</v>
      </c>
      <c r="E345" s="8" t="s">
        <v>268</v>
      </c>
      <c r="F345" s="8" t="s">
        <v>269</v>
      </c>
      <c r="G345" s="8" t="s">
        <v>90</v>
      </c>
      <c r="H345" s="8" t="s">
        <v>90</v>
      </c>
      <c r="I345" s="8" t="s">
        <v>90</v>
      </c>
      <c r="J345" s="8" t="s">
        <v>270</v>
      </c>
      <c r="K345" s="8">
        <v>8</v>
      </c>
      <c r="L345" s="8">
        <v>0</v>
      </c>
      <c r="M345" s="8">
        <v>8</v>
      </c>
      <c r="N345" s="9">
        <v>32</v>
      </c>
      <c r="O345" s="9">
        <v>46</v>
      </c>
      <c r="P345" s="9">
        <v>28</v>
      </c>
      <c r="Q345" s="9">
        <v>24</v>
      </c>
      <c r="R345" s="9">
        <v>32</v>
      </c>
      <c r="S345" s="9"/>
      <c r="T345" s="8"/>
      <c r="U345" s="8" t="s">
        <v>280</v>
      </c>
      <c r="V345" s="8" t="s">
        <v>280</v>
      </c>
      <c r="W345" s="10">
        <v>48</v>
      </c>
      <c r="X345" s="11" t="s">
        <v>1134</v>
      </c>
      <c r="Y345" s="11" t="s">
        <v>1241</v>
      </c>
      <c r="Z345" s="11" t="s">
        <v>1242</v>
      </c>
    </row>
    <row r="346" ht="76" customHeight="1" spans="1:26">
      <c r="A346" s="8" t="s">
        <v>208</v>
      </c>
      <c r="B346" s="8" t="s">
        <v>99</v>
      </c>
      <c r="C346" s="8" t="s">
        <v>1244</v>
      </c>
      <c r="D346" s="8" t="s">
        <v>267</v>
      </c>
      <c r="E346" s="8" t="s">
        <v>277</v>
      </c>
      <c r="F346" s="8" t="s">
        <v>278</v>
      </c>
      <c r="G346" s="8" t="s">
        <v>90</v>
      </c>
      <c r="H346" s="8" t="s">
        <v>73</v>
      </c>
      <c r="I346" s="8" t="s">
        <v>90</v>
      </c>
      <c r="J346" s="8" t="s">
        <v>279</v>
      </c>
      <c r="K346" s="8">
        <v>0</v>
      </c>
      <c r="L346" s="8">
        <v>13</v>
      </c>
      <c r="M346" s="8">
        <v>13</v>
      </c>
      <c r="N346" s="9">
        <v>12</v>
      </c>
      <c r="O346" s="9">
        <v>36</v>
      </c>
      <c r="P346" s="9">
        <v>16</v>
      </c>
      <c r="Q346" s="9">
        <v>0</v>
      </c>
      <c r="R346" s="9">
        <v>16</v>
      </c>
      <c r="S346" s="9"/>
      <c r="T346" s="8"/>
      <c r="U346" s="8" t="s">
        <v>288</v>
      </c>
      <c r="V346" s="8" t="s">
        <v>280</v>
      </c>
      <c r="W346" s="10">
        <v>20</v>
      </c>
      <c r="X346" s="11" t="s">
        <v>1245</v>
      </c>
      <c r="Y346" s="11" t="s">
        <v>1246</v>
      </c>
      <c r="Z346" s="11" t="s">
        <v>1247</v>
      </c>
    </row>
    <row r="347" ht="92" customHeight="1" spans="1:26">
      <c r="A347" s="8" t="s">
        <v>208</v>
      </c>
      <c r="B347" s="8" t="s">
        <v>99</v>
      </c>
      <c r="C347" s="8" t="s">
        <v>1248</v>
      </c>
      <c r="D347" s="8" t="s">
        <v>267</v>
      </c>
      <c r="E347" s="8" t="s">
        <v>268</v>
      </c>
      <c r="F347" s="8" t="s">
        <v>269</v>
      </c>
      <c r="G347" s="8" t="s">
        <v>90</v>
      </c>
      <c r="H347" s="8" t="s">
        <v>73</v>
      </c>
      <c r="I347" s="8" t="s">
        <v>90</v>
      </c>
      <c r="J347" s="8" t="s">
        <v>270</v>
      </c>
      <c r="K347" s="8">
        <v>8</v>
      </c>
      <c r="L347" s="8">
        <v>0</v>
      </c>
      <c r="M347" s="8">
        <v>8</v>
      </c>
      <c r="N347" s="9">
        <v>4</v>
      </c>
      <c r="O347" s="9">
        <v>24</v>
      </c>
      <c r="P347" s="9">
        <v>0</v>
      </c>
      <c r="Q347" s="9">
        <v>0</v>
      </c>
      <c r="R347" s="9">
        <v>0</v>
      </c>
      <c r="S347" s="9"/>
      <c r="T347" s="8"/>
      <c r="U347" s="8" t="s">
        <v>301</v>
      </c>
      <c r="V347" s="8" t="s">
        <v>288</v>
      </c>
      <c r="W347" s="10">
        <v>12</v>
      </c>
      <c r="X347" s="11" t="s">
        <v>1134</v>
      </c>
      <c r="Y347" s="11" t="s">
        <v>1241</v>
      </c>
      <c r="Z347" s="11" t="s">
        <v>1242</v>
      </c>
    </row>
    <row r="348" ht="122" customHeight="1" spans="1:26">
      <c r="A348" s="8" t="s">
        <v>208</v>
      </c>
      <c r="B348" s="8" t="s">
        <v>99</v>
      </c>
      <c r="C348" s="8" t="s">
        <v>1249</v>
      </c>
      <c r="D348" s="8" t="s">
        <v>267</v>
      </c>
      <c r="E348" s="8" t="s">
        <v>277</v>
      </c>
      <c r="F348" s="8" t="s">
        <v>278</v>
      </c>
      <c r="G348" s="8" t="s">
        <v>90</v>
      </c>
      <c r="H348" s="8" t="s">
        <v>73</v>
      </c>
      <c r="I348" s="8" t="s">
        <v>90</v>
      </c>
      <c r="J348" s="8" t="s">
        <v>279</v>
      </c>
      <c r="K348" s="8">
        <v>0</v>
      </c>
      <c r="L348" s="8">
        <v>8</v>
      </c>
      <c r="M348" s="8">
        <v>8</v>
      </c>
      <c r="N348" s="9">
        <v>0</v>
      </c>
      <c r="O348" s="9">
        <v>0</v>
      </c>
      <c r="P348" s="9">
        <v>0</v>
      </c>
      <c r="Q348" s="9">
        <v>0</v>
      </c>
      <c r="R348" s="9">
        <v>0</v>
      </c>
      <c r="S348" s="9"/>
      <c r="T348" s="8"/>
      <c r="U348" s="8" t="s">
        <v>301</v>
      </c>
      <c r="V348" s="8" t="s">
        <v>301</v>
      </c>
      <c r="W348" s="10">
        <v>12</v>
      </c>
      <c r="X348" s="11" t="s">
        <v>1138</v>
      </c>
      <c r="Y348" s="11" t="s">
        <v>1250</v>
      </c>
      <c r="Z348" s="11"/>
    </row>
    <row r="349" ht="122" customHeight="1" spans="1:26">
      <c r="A349" s="8" t="s">
        <v>208</v>
      </c>
      <c r="B349" s="8" t="s">
        <v>99</v>
      </c>
      <c r="C349" s="8" t="s">
        <v>1251</v>
      </c>
      <c r="D349" s="8" t="s">
        <v>267</v>
      </c>
      <c r="E349" s="8" t="s">
        <v>277</v>
      </c>
      <c r="F349" s="8" t="s">
        <v>278</v>
      </c>
      <c r="G349" s="8" t="s">
        <v>90</v>
      </c>
      <c r="H349" s="8" t="s">
        <v>73</v>
      </c>
      <c r="I349" s="8" t="s">
        <v>90</v>
      </c>
      <c r="J349" s="8" t="s">
        <v>279</v>
      </c>
      <c r="K349" s="8">
        <v>0</v>
      </c>
      <c r="L349" s="8">
        <v>8</v>
      </c>
      <c r="M349" s="8">
        <v>8</v>
      </c>
      <c r="N349" s="9">
        <v>0</v>
      </c>
      <c r="O349" s="9">
        <v>0</v>
      </c>
      <c r="P349" s="9">
        <v>0</v>
      </c>
      <c r="Q349" s="9">
        <v>0</v>
      </c>
      <c r="R349" s="9">
        <v>0</v>
      </c>
      <c r="S349" s="9"/>
      <c r="T349" s="8"/>
      <c r="U349" s="8" t="s">
        <v>301</v>
      </c>
      <c r="V349" s="8" t="s">
        <v>301</v>
      </c>
      <c r="W349" s="10">
        <v>0</v>
      </c>
      <c r="X349" s="11" t="s">
        <v>1252</v>
      </c>
      <c r="Y349" s="11" t="s">
        <v>1253</v>
      </c>
      <c r="Z349" s="11"/>
    </row>
    <row r="350" ht="107" customHeight="1" spans="1:26">
      <c r="A350" s="8" t="s">
        <v>208</v>
      </c>
      <c r="B350" s="8" t="s">
        <v>99</v>
      </c>
      <c r="C350" s="8" t="s">
        <v>1254</v>
      </c>
      <c r="D350" s="8" t="s">
        <v>267</v>
      </c>
      <c r="E350" s="8" t="s">
        <v>277</v>
      </c>
      <c r="F350" s="8" t="s">
        <v>278</v>
      </c>
      <c r="G350" s="8" t="s">
        <v>90</v>
      </c>
      <c r="H350" s="8" t="s">
        <v>73</v>
      </c>
      <c r="I350" s="8" t="s">
        <v>90</v>
      </c>
      <c r="J350" s="8" t="s">
        <v>279</v>
      </c>
      <c r="K350" s="8">
        <v>0</v>
      </c>
      <c r="L350" s="8">
        <v>8</v>
      </c>
      <c r="M350" s="8">
        <v>8</v>
      </c>
      <c r="N350" s="9">
        <v>0</v>
      </c>
      <c r="O350" s="9">
        <v>0</v>
      </c>
      <c r="P350" s="9">
        <v>0</v>
      </c>
      <c r="Q350" s="9">
        <v>0</v>
      </c>
      <c r="R350" s="9">
        <v>0</v>
      </c>
      <c r="S350" s="9"/>
      <c r="T350" s="8"/>
      <c r="U350" s="8" t="s">
        <v>301</v>
      </c>
      <c r="V350" s="8" t="s">
        <v>301</v>
      </c>
      <c r="W350" s="10">
        <v>12</v>
      </c>
      <c r="X350" s="11" t="s">
        <v>1138</v>
      </c>
      <c r="Y350" s="11" t="s">
        <v>1250</v>
      </c>
      <c r="Z350" s="11"/>
    </row>
    <row r="351" ht="107" customHeight="1" spans="1:26">
      <c r="A351" s="8" t="s">
        <v>208</v>
      </c>
      <c r="B351" s="8" t="s">
        <v>99</v>
      </c>
      <c r="C351" s="8" t="s">
        <v>1255</v>
      </c>
      <c r="D351" s="8" t="s">
        <v>267</v>
      </c>
      <c r="E351" s="8" t="s">
        <v>317</v>
      </c>
      <c r="F351" s="8" t="s">
        <v>278</v>
      </c>
      <c r="G351" s="8" t="s">
        <v>90</v>
      </c>
      <c r="H351" s="8" t="s">
        <v>73</v>
      </c>
      <c r="I351" s="8" t="s">
        <v>90</v>
      </c>
      <c r="J351" s="8" t="s">
        <v>279</v>
      </c>
      <c r="K351" s="8">
        <v>0</v>
      </c>
      <c r="L351" s="8">
        <v>16</v>
      </c>
      <c r="M351" s="8">
        <v>16</v>
      </c>
      <c r="N351" s="9">
        <v>48</v>
      </c>
      <c r="O351" s="9">
        <v>12</v>
      </c>
      <c r="P351" s="9">
        <v>12</v>
      </c>
      <c r="Q351" s="9">
        <v>36</v>
      </c>
      <c r="R351" s="9">
        <v>0</v>
      </c>
      <c r="S351" s="9"/>
      <c r="T351" s="8"/>
      <c r="U351" s="8" t="s">
        <v>301</v>
      </c>
      <c r="V351" s="8" t="s">
        <v>301</v>
      </c>
      <c r="W351" s="10">
        <v>24</v>
      </c>
      <c r="X351" s="11" t="s">
        <v>1256</v>
      </c>
      <c r="Y351" s="11"/>
      <c r="Z351" s="11"/>
    </row>
    <row r="352" ht="107" customHeight="1" spans="1:26">
      <c r="A352" s="8" t="s">
        <v>208</v>
      </c>
      <c r="B352" s="8" t="s">
        <v>99</v>
      </c>
      <c r="C352" s="8" t="s">
        <v>1257</v>
      </c>
      <c r="D352" s="8" t="s">
        <v>1258</v>
      </c>
      <c r="E352" s="8" t="s">
        <v>1259</v>
      </c>
      <c r="F352" s="8" t="s">
        <v>287</v>
      </c>
      <c r="G352" s="8" t="s">
        <v>90</v>
      </c>
      <c r="H352" s="8" t="s">
        <v>90</v>
      </c>
      <c r="I352" s="8" t="s">
        <v>90</v>
      </c>
      <c r="J352" s="8" t="s">
        <v>1260</v>
      </c>
      <c r="K352" s="8">
        <v>16</v>
      </c>
      <c r="L352" s="8">
        <v>0</v>
      </c>
      <c r="M352" s="8">
        <v>16</v>
      </c>
      <c r="N352" s="9">
        <v>0</v>
      </c>
      <c r="O352" s="9">
        <v>0</v>
      </c>
      <c r="P352" s="9">
        <v>0</v>
      </c>
      <c r="Q352" s="9">
        <v>0</v>
      </c>
      <c r="R352" s="9">
        <v>0</v>
      </c>
      <c r="S352" s="9"/>
      <c r="T352" s="8"/>
      <c r="U352" s="8" t="s">
        <v>301</v>
      </c>
      <c r="V352" s="8" t="s">
        <v>301</v>
      </c>
      <c r="W352" s="10">
        <v>80</v>
      </c>
      <c r="X352" s="11" t="s">
        <v>1261</v>
      </c>
      <c r="Y352" s="11" t="s">
        <v>1262</v>
      </c>
      <c r="Z352" s="11" t="s">
        <v>1263</v>
      </c>
    </row>
    <row r="353" ht="107" customHeight="1" spans="1:26">
      <c r="A353" s="12" t="s">
        <v>1264</v>
      </c>
      <c r="B353" s="12" t="s">
        <v>51</v>
      </c>
      <c r="C353" s="12" t="s">
        <v>1265</v>
      </c>
      <c r="D353" s="12" t="s">
        <v>336</v>
      </c>
      <c r="E353" s="12" t="s">
        <v>337</v>
      </c>
      <c r="F353" s="12" t="s">
        <v>338</v>
      </c>
      <c r="G353" s="12" t="s">
        <v>90</v>
      </c>
      <c r="H353" s="12" t="s">
        <v>73</v>
      </c>
      <c r="I353" s="12" t="s">
        <v>90</v>
      </c>
      <c r="J353" s="12" t="s">
        <v>279</v>
      </c>
      <c r="K353" s="12">
        <v>0</v>
      </c>
      <c r="L353" s="12">
        <v>8</v>
      </c>
      <c r="M353" s="12">
        <v>8</v>
      </c>
      <c r="N353" s="13">
        <v>0</v>
      </c>
      <c r="O353" s="13">
        <v>0</v>
      </c>
      <c r="P353" s="13">
        <v>0</v>
      </c>
      <c r="Q353" s="13">
        <v>0</v>
      </c>
      <c r="R353" s="13">
        <v>0</v>
      </c>
      <c r="S353" s="13"/>
      <c r="T353" s="12"/>
      <c r="U353" s="12" t="s">
        <v>301</v>
      </c>
      <c r="V353" s="12" t="s">
        <v>288</v>
      </c>
      <c r="W353" s="13">
        <v>4</v>
      </c>
      <c r="X353" s="14" t="s">
        <v>1266</v>
      </c>
      <c r="Y353" s="14" t="s">
        <v>1267</v>
      </c>
      <c r="Z353" s="14" t="s">
        <v>1268</v>
      </c>
    </row>
    <row r="354" ht="92" customHeight="1" spans="1:26">
      <c r="A354" s="15" t="s">
        <v>1264</v>
      </c>
      <c r="B354" s="15" t="s">
        <v>51</v>
      </c>
      <c r="C354" s="15" t="s">
        <v>1269</v>
      </c>
      <c r="D354" s="15" t="s">
        <v>267</v>
      </c>
      <c r="E354" s="15" t="s">
        <v>441</v>
      </c>
      <c r="F354" s="15" t="s">
        <v>278</v>
      </c>
      <c r="G354" s="15" t="s">
        <v>90</v>
      </c>
      <c r="H354" s="15" t="s">
        <v>90</v>
      </c>
      <c r="I354" s="15" t="s">
        <v>90</v>
      </c>
      <c r="J354" s="15" t="s">
        <v>279</v>
      </c>
      <c r="K354" s="15">
        <v>0</v>
      </c>
      <c r="L354" s="15">
        <v>6</v>
      </c>
      <c r="M354" s="15">
        <v>6</v>
      </c>
      <c r="N354" s="16">
        <v>216</v>
      </c>
      <c r="O354" s="16">
        <v>212</v>
      </c>
      <c r="P354" s="16">
        <v>176</v>
      </c>
      <c r="Q354" s="16">
        <v>208</v>
      </c>
      <c r="R354" s="16">
        <v>180</v>
      </c>
      <c r="S354" s="16"/>
      <c r="T354" s="15"/>
      <c r="U354" s="15" t="s">
        <v>272</v>
      </c>
      <c r="V354" s="15" t="s">
        <v>454</v>
      </c>
      <c r="W354" s="16">
        <v>220</v>
      </c>
      <c r="X354" s="17" t="s">
        <v>1270</v>
      </c>
      <c r="Y354" s="17" t="s">
        <v>1271</v>
      </c>
      <c r="Z354" s="17" t="s">
        <v>1272</v>
      </c>
    </row>
    <row r="355" ht="107" customHeight="1" spans="1:26">
      <c r="A355" s="15" t="s">
        <v>1264</v>
      </c>
      <c r="B355" s="15" t="s">
        <v>51</v>
      </c>
      <c r="C355" s="15" t="s">
        <v>1273</v>
      </c>
      <c r="D355" s="15" t="s">
        <v>607</v>
      </c>
      <c r="E355" s="15" t="s">
        <v>441</v>
      </c>
      <c r="F355" s="15" t="s">
        <v>338</v>
      </c>
      <c r="G355" s="15" t="s">
        <v>90</v>
      </c>
      <c r="H355" s="15" t="s">
        <v>90</v>
      </c>
      <c r="I355" s="15" t="s">
        <v>90</v>
      </c>
      <c r="J355" s="15" t="s">
        <v>279</v>
      </c>
      <c r="K355" s="15">
        <v>0</v>
      </c>
      <c r="L355" s="15">
        <v>20</v>
      </c>
      <c r="M355" s="15">
        <v>20</v>
      </c>
      <c r="N355" s="16">
        <v>32</v>
      </c>
      <c r="O355" s="16">
        <v>24</v>
      </c>
      <c r="P355" s="16">
        <v>24</v>
      </c>
      <c r="Q355" s="16">
        <v>24</v>
      </c>
      <c r="R355" s="16">
        <v>28</v>
      </c>
      <c r="S355" s="16"/>
      <c r="T355" s="15"/>
      <c r="U355" s="15" t="s">
        <v>288</v>
      </c>
      <c r="V355" s="15" t="s">
        <v>271</v>
      </c>
      <c r="W355" s="16">
        <v>40</v>
      </c>
      <c r="X355" s="17" t="s">
        <v>1274</v>
      </c>
      <c r="Y355" s="17" t="s">
        <v>1275</v>
      </c>
      <c r="Z355" s="17" t="s">
        <v>1276</v>
      </c>
    </row>
    <row r="356" ht="107" customHeight="1" spans="1:26">
      <c r="A356" s="15" t="s">
        <v>1264</v>
      </c>
      <c r="B356" s="15" t="s">
        <v>51</v>
      </c>
      <c r="C356" s="15" t="s">
        <v>1277</v>
      </c>
      <c r="D356" s="15" t="s">
        <v>607</v>
      </c>
      <c r="E356" s="15" t="s">
        <v>441</v>
      </c>
      <c r="F356" s="15" t="s">
        <v>338</v>
      </c>
      <c r="G356" s="15" t="s">
        <v>90</v>
      </c>
      <c r="H356" s="15" t="s">
        <v>73</v>
      </c>
      <c r="I356" s="15" t="s">
        <v>73</v>
      </c>
      <c r="J356" s="15" t="s">
        <v>279</v>
      </c>
      <c r="K356" s="15">
        <v>0</v>
      </c>
      <c r="L356" s="15">
        <v>30</v>
      </c>
      <c r="M356" s="15">
        <v>30</v>
      </c>
      <c r="N356" s="16">
        <v>7</v>
      </c>
      <c r="O356" s="16">
        <v>13</v>
      </c>
      <c r="P356" s="16">
        <v>5</v>
      </c>
      <c r="Q356" s="16">
        <v>1</v>
      </c>
      <c r="R356" s="16">
        <v>16</v>
      </c>
      <c r="S356" s="16"/>
      <c r="T356" s="15"/>
      <c r="U356" s="15" t="s">
        <v>288</v>
      </c>
      <c r="V356" s="15" t="s">
        <v>280</v>
      </c>
      <c r="W356" s="16">
        <v>20</v>
      </c>
      <c r="X356" s="17" t="s">
        <v>1274</v>
      </c>
      <c r="Y356" s="17" t="s">
        <v>1275</v>
      </c>
      <c r="Z356" s="17" t="s">
        <v>1278</v>
      </c>
    </row>
    <row r="357" ht="107" customHeight="1" spans="1:26">
      <c r="A357" s="15" t="s">
        <v>1264</v>
      </c>
      <c r="B357" s="15" t="s">
        <v>51</v>
      </c>
      <c r="C357" s="15" t="s">
        <v>1279</v>
      </c>
      <c r="D357" s="15" t="s">
        <v>607</v>
      </c>
      <c r="E357" s="15" t="s">
        <v>441</v>
      </c>
      <c r="F357" s="15" t="s">
        <v>338</v>
      </c>
      <c r="G357" s="15" t="s">
        <v>90</v>
      </c>
      <c r="H357" s="15" t="s">
        <v>73</v>
      </c>
      <c r="I357" s="15" t="s">
        <v>73</v>
      </c>
      <c r="J357" s="15" t="s">
        <v>279</v>
      </c>
      <c r="K357" s="15">
        <v>0</v>
      </c>
      <c r="L357" s="15">
        <v>12</v>
      </c>
      <c r="M357" s="15">
        <v>12</v>
      </c>
      <c r="N357" s="16">
        <v>0</v>
      </c>
      <c r="O357" s="16">
        <v>4</v>
      </c>
      <c r="P357" s="16">
        <v>0</v>
      </c>
      <c r="Q357" s="16">
        <v>0</v>
      </c>
      <c r="R357" s="16">
        <v>8</v>
      </c>
      <c r="S357" s="16"/>
      <c r="T357" s="15"/>
      <c r="U357" s="15" t="s">
        <v>288</v>
      </c>
      <c r="V357" s="15" t="s">
        <v>280</v>
      </c>
      <c r="W357" s="16">
        <v>8</v>
      </c>
      <c r="X357" s="17" t="s">
        <v>1274</v>
      </c>
      <c r="Y357" s="17" t="s">
        <v>1267</v>
      </c>
      <c r="Z357" s="17" t="s">
        <v>1278</v>
      </c>
    </row>
    <row r="358" ht="122" customHeight="1" spans="1:26">
      <c r="A358" s="15" t="s">
        <v>1264</v>
      </c>
      <c r="B358" s="15" t="s">
        <v>51</v>
      </c>
      <c r="C358" s="15" t="s">
        <v>1280</v>
      </c>
      <c r="D358" s="15" t="s">
        <v>607</v>
      </c>
      <c r="E358" s="15" t="s">
        <v>441</v>
      </c>
      <c r="F358" s="15" t="s">
        <v>338</v>
      </c>
      <c r="G358" s="15" t="s">
        <v>90</v>
      </c>
      <c r="H358" s="15" t="s">
        <v>73</v>
      </c>
      <c r="I358" s="15" t="s">
        <v>73</v>
      </c>
      <c r="J358" s="15" t="s">
        <v>279</v>
      </c>
      <c r="K358" s="15">
        <v>0</v>
      </c>
      <c r="L358" s="15">
        <v>12</v>
      </c>
      <c r="M358" s="15">
        <v>12</v>
      </c>
      <c r="N358" s="16">
        <v>0</v>
      </c>
      <c r="O358" s="16">
        <v>8</v>
      </c>
      <c r="P358" s="16">
        <v>0</v>
      </c>
      <c r="Q358" s="16">
        <v>4</v>
      </c>
      <c r="R358" s="16">
        <v>8</v>
      </c>
      <c r="S358" s="16"/>
      <c r="T358" s="15"/>
      <c r="U358" s="15" t="s">
        <v>288</v>
      </c>
      <c r="V358" s="15" t="s">
        <v>280</v>
      </c>
      <c r="W358" s="16">
        <v>8</v>
      </c>
      <c r="X358" s="17" t="s">
        <v>1274</v>
      </c>
      <c r="Y358" s="17" t="s">
        <v>1267</v>
      </c>
      <c r="Z358" s="17" t="s">
        <v>1281</v>
      </c>
    </row>
    <row r="359" ht="107" customHeight="1" spans="1:26">
      <c r="A359" s="15" t="s">
        <v>1264</v>
      </c>
      <c r="B359" s="15" t="s">
        <v>51</v>
      </c>
      <c r="C359" s="15" t="s">
        <v>1282</v>
      </c>
      <c r="D359" s="15" t="s">
        <v>607</v>
      </c>
      <c r="E359" s="15" t="s">
        <v>441</v>
      </c>
      <c r="F359" s="15" t="s">
        <v>338</v>
      </c>
      <c r="G359" s="15" t="s">
        <v>90</v>
      </c>
      <c r="H359" s="15" t="s">
        <v>73</v>
      </c>
      <c r="I359" s="15" t="s">
        <v>73</v>
      </c>
      <c r="J359" s="15" t="s">
        <v>279</v>
      </c>
      <c r="K359" s="15">
        <v>0</v>
      </c>
      <c r="L359" s="15">
        <v>16</v>
      </c>
      <c r="M359" s="15">
        <v>16</v>
      </c>
      <c r="N359" s="16">
        <v>16</v>
      </c>
      <c r="O359" s="16">
        <v>0</v>
      </c>
      <c r="P359" s="16">
        <v>8</v>
      </c>
      <c r="Q359" s="16">
        <v>12</v>
      </c>
      <c r="R359" s="16">
        <v>0</v>
      </c>
      <c r="S359" s="16"/>
      <c r="T359" s="15"/>
      <c r="U359" s="15" t="s">
        <v>301</v>
      </c>
      <c r="V359" s="15" t="s">
        <v>288</v>
      </c>
      <c r="W359" s="16">
        <v>20</v>
      </c>
      <c r="X359" s="17" t="s">
        <v>1283</v>
      </c>
      <c r="Y359" s="17" t="s">
        <v>1267</v>
      </c>
      <c r="Z359" s="17" t="s">
        <v>1284</v>
      </c>
    </row>
    <row r="360" ht="107" customHeight="1" spans="1:26">
      <c r="A360" s="15" t="s">
        <v>1264</v>
      </c>
      <c r="B360" s="15" t="s">
        <v>51</v>
      </c>
      <c r="C360" s="15" t="s">
        <v>1285</v>
      </c>
      <c r="D360" s="15" t="s">
        <v>607</v>
      </c>
      <c r="E360" s="15" t="s">
        <v>441</v>
      </c>
      <c r="F360" s="15" t="s">
        <v>338</v>
      </c>
      <c r="G360" s="15" t="s">
        <v>90</v>
      </c>
      <c r="H360" s="15" t="s">
        <v>73</v>
      </c>
      <c r="I360" s="15" t="s">
        <v>73</v>
      </c>
      <c r="J360" s="15" t="s">
        <v>279</v>
      </c>
      <c r="K360" s="15">
        <v>0</v>
      </c>
      <c r="L360" s="15">
        <v>8</v>
      </c>
      <c r="M360" s="15">
        <v>8</v>
      </c>
      <c r="N360" s="16">
        <v>4</v>
      </c>
      <c r="O360" s="16">
        <v>12</v>
      </c>
      <c r="P360" s="16">
        <v>0</v>
      </c>
      <c r="Q360" s="16">
        <v>0</v>
      </c>
      <c r="R360" s="16">
        <v>0</v>
      </c>
      <c r="S360" s="16"/>
      <c r="T360" s="15"/>
      <c r="U360" s="15" t="s">
        <v>301</v>
      </c>
      <c r="V360" s="15" t="s">
        <v>288</v>
      </c>
      <c r="W360" s="16">
        <v>4</v>
      </c>
      <c r="X360" s="17" t="s">
        <v>1274</v>
      </c>
      <c r="Y360" s="17" t="s">
        <v>1267</v>
      </c>
      <c r="Z360" s="17" t="s">
        <v>1284</v>
      </c>
    </row>
    <row r="361" ht="107" customHeight="1" spans="1:26">
      <c r="A361" s="15" t="s">
        <v>1264</v>
      </c>
      <c r="B361" s="15" t="s">
        <v>51</v>
      </c>
      <c r="C361" s="15" t="s">
        <v>1286</v>
      </c>
      <c r="D361" s="15" t="s">
        <v>607</v>
      </c>
      <c r="E361" s="15" t="s">
        <v>441</v>
      </c>
      <c r="F361" s="15" t="s">
        <v>338</v>
      </c>
      <c r="G361" s="15" t="s">
        <v>90</v>
      </c>
      <c r="H361" s="15" t="s">
        <v>73</v>
      </c>
      <c r="I361" s="15" t="s">
        <v>73</v>
      </c>
      <c r="J361" s="15" t="s">
        <v>279</v>
      </c>
      <c r="K361" s="15">
        <v>0</v>
      </c>
      <c r="L361" s="15">
        <v>12</v>
      </c>
      <c r="M361" s="15">
        <v>12</v>
      </c>
      <c r="N361" s="16">
        <v>0</v>
      </c>
      <c r="O361" s="16">
        <v>0</v>
      </c>
      <c r="P361" s="16">
        <v>0</v>
      </c>
      <c r="Q361" s="16">
        <v>0</v>
      </c>
      <c r="R361" s="16">
        <v>0</v>
      </c>
      <c r="S361" s="16"/>
      <c r="T361" s="15"/>
      <c r="U361" s="15" t="s">
        <v>301</v>
      </c>
      <c r="V361" s="15" t="s">
        <v>288</v>
      </c>
      <c r="W361" s="16">
        <v>4</v>
      </c>
      <c r="X361" s="17" t="s">
        <v>1274</v>
      </c>
      <c r="Y361" s="17" t="s">
        <v>1267</v>
      </c>
      <c r="Z361" s="17" t="s">
        <v>1287</v>
      </c>
    </row>
    <row r="362" ht="46" customHeight="1" spans="1:26">
      <c r="A362" s="15" t="s">
        <v>1264</v>
      </c>
      <c r="B362" s="15" t="s">
        <v>51</v>
      </c>
      <c r="C362" s="15" t="s">
        <v>1288</v>
      </c>
      <c r="D362" s="15" t="s">
        <v>267</v>
      </c>
      <c r="E362" s="15" t="s">
        <v>441</v>
      </c>
      <c r="F362" s="15" t="s">
        <v>278</v>
      </c>
      <c r="G362" s="15" t="s">
        <v>90</v>
      </c>
      <c r="H362" s="15" t="s">
        <v>73</v>
      </c>
      <c r="I362" s="15" t="s">
        <v>73</v>
      </c>
      <c r="J362" s="15" t="s">
        <v>279</v>
      </c>
      <c r="K362" s="15">
        <v>0</v>
      </c>
      <c r="L362" s="15">
        <v>8</v>
      </c>
      <c r="M362" s="15">
        <v>8</v>
      </c>
      <c r="N362" s="16">
        <v>0</v>
      </c>
      <c r="O362" s="16">
        <v>0</v>
      </c>
      <c r="P362" s="16">
        <v>0</v>
      </c>
      <c r="Q362" s="16">
        <v>0</v>
      </c>
      <c r="R362" s="16">
        <v>0</v>
      </c>
      <c r="S362" s="16"/>
      <c r="T362" s="15"/>
      <c r="U362" s="15" t="s">
        <v>301</v>
      </c>
      <c r="V362" s="15" t="s">
        <v>288</v>
      </c>
      <c r="W362" s="16">
        <v>4</v>
      </c>
      <c r="X362" s="17" t="s">
        <v>1289</v>
      </c>
      <c r="Y362" s="17" t="s">
        <v>1267</v>
      </c>
      <c r="Z362" s="17" t="s">
        <v>1287</v>
      </c>
    </row>
    <row r="363" ht="31" customHeight="1" spans="1:26">
      <c r="A363" s="8" t="s">
        <v>1264</v>
      </c>
      <c r="B363" s="8" t="s">
        <v>51</v>
      </c>
      <c r="C363" s="8" t="s">
        <v>1290</v>
      </c>
      <c r="D363" s="8" t="s">
        <v>267</v>
      </c>
      <c r="E363" s="8" t="s">
        <v>277</v>
      </c>
      <c r="F363" s="8" t="s">
        <v>278</v>
      </c>
      <c r="G363" s="8" t="s">
        <v>90</v>
      </c>
      <c r="H363" s="8" t="s">
        <v>90</v>
      </c>
      <c r="I363" s="8" t="s">
        <v>90</v>
      </c>
      <c r="J363" s="8" t="s">
        <v>279</v>
      </c>
      <c r="K363" s="8">
        <v>0</v>
      </c>
      <c r="L363" s="8">
        <v>3</v>
      </c>
      <c r="M363" s="8">
        <v>3</v>
      </c>
      <c r="N363" s="9">
        <v>16</v>
      </c>
      <c r="O363" s="9">
        <v>52</v>
      </c>
      <c r="P363" s="9">
        <v>10</v>
      </c>
      <c r="Q363" s="9">
        <v>48</v>
      </c>
      <c r="R363" s="9">
        <v>144</v>
      </c>
      <c r="S363" s="9"/>
      <c r="T363" s="8"/>
      <c r="U363" s="8" t="s">
        <v>272</v>
      </c>
      <c r="V363" s="8" t="s">
        <v>272</v>
      </c>
      <c r="W363" s="10">
        <v>130</v>
      </c>
      <c r="X363" s="11" t="s">
        <v>1291</v>
      </c>
      <c r="Y363" s="11" t="s">
        <v>1292</v>
      </c>
      <c r="Z363" s="11" t="s">
        <v>1293</v>
      </c>
    </row>
    <row r="364" ht="61" spans="1:26">
      <c r="A364" s="8" t="s">
        <v>1264</v>
      </c>
      <c r="B364" s="8" t="s">
        <v>51</v>
      </c>
      <c r="C364" s="8" t="s">
        <v>1294</v>
      </c>
      <c r="D364" s="8" t="s">
        <v>267</v>
      </c>
      <c r="E364" s="8" t="s">
        <v>277</v>
      </c>
      <c r="F364" s="8" t="s">
        <v>278</v>
      </c>
      <c r="G364" s="8" t="s">
        <v>90</v>
      </c>
      <c r="H364" s="8" t="s">
        <v>90</v>
      </c>
      <c r="I364" s="8" t="s">
        <v>90</v>
      </c>
      <c r="J364" s="8" t="s">
        <v>279</v>
      </c>
      <c r="K364" s="8">
        <v>0</v>
      </c>
      <c r="L364" s="8">
        <v>16</v>
      </c>
      <c r="M364" s="8">
        <v>16</v>
      </c>
      <c r="N364" s="9">
        <v>104</v>
      </c>
      <c r="O364" s="9">
        <v>176</v>
      </c>
      <c r="P364" s="9">
        <v>144</v>
      </c>
      <c r="Q364" s="9">
        <v>132</v>
      </c>
      <c r="R364" s="9">
        <v>112</v>
      </c>
      <c r="S364" s="9"/>
      <c r="T364" s="8"/>
      <c r="U364" s="8" t="s">
        <v>272</v>
      </c>
      <c r="V364" s="8" t="s">
        <v>454</v>
      </c>
      <c r="W364" s="10">
        <v>170</v>
      </c>
      <c r="X364" s="11" t="s">
        <v>1295</v>
      </c>
      <c r="Y364" s="11" t="s">
        <v>1296</v>
      </c>
      <c r="Z364" s="11" t="s">
        <v>1293</v>
      </c>
    </row>
    <row r="365" ht="61" spans="1:26">
      <c r="A365" s="8" t="s">
        <v>1264</v>
      </c>
      <c r="B365" s="8" t="s">
        <v>51</v>
      </c>
      <c r="C365" s="8" t="s">
        <v>1297</v>
      </c>
      <c r="D365" s="8" t="s">
        <v>267</v>
      </c>
      <c r="E365" s="8" t="s">
        <v>286</v>
      </c>
      <c r="F365" s="8" t="s">
        <v>287</v>
      </c>
      <c r="G365" s="8" t="s">
        <v>90</v>
      </c>
      <c r="H365" s="8" t="s">
        <v>90</v>
      </c>
      <c r="I365" s="8" t="s">
        <v>90</v>
      </c>
      <c r="J365" s="8" t="s">
        <v>279</v>
      </c>
      <c r="K365" s="8">
        <v>0</v>
      </c>
      <c r="L365" s="8">
        <v>4</v>
      </c>
      <c r="M365" s="8">
        <v>4</v>
      </c>
      <c r="N365" s="9">
        <v>104</v>
      </c>
      <c r="O365" s="9">
        <v>76</v>
      </c>
      <c r="P365" s="9">
        <v>102</v>
      </c>
      <c r="Q365" s="9">
        <v>76</v>
      </c>
      <c r="R365" s="9">
        <v>104</v>
      </c>
      <c r="S365" s="9"/>
      <c r="T365" s="8"/>
      <c r="U365" s="8" t="s">
        <v>271</v>
      </c>
      <c r="V365" s="8" t="s">
        <v>454</v>
      </c>
      <c r="W365" s="10">
        <v>150</v>
      </c>
      <c r="X365" s="11" t="s">
        <v>1298</v>
      </c>
      <c r="Y365" s="11" t="s">
        <v>1299</v>
      </c>
      <c r="Z365" s="11" t="s">
        <v>1300</v>
      </c>
    </row>
    <row r="366" ht="31" customHeight="1" spans="1:26">
      <c r="A366" s="8" t="s">
        <v>1264</v>
      </c>
      <c r="B366" s="8" t="s">
        <v>51</v>
      </c>
      <c r="C366" s="8" t="s">
        <v>1301</v>
      </c>
      <c r="D366" s="8" t="s">
        <v>267</v>
      </c>
      <c r="E366" s="8" t="s">
        <v>277</v>
      </c>
      <c r="F366" s="8" t="s">
        <v>278</v>
      </c>
      <c r="G366" s="8" t="s">
        <v>90</v>
      </c>
      <c r="H366" s="8" t="s">
        <v>90</v>
      </c>
      <c r="I366" s="8" t="s">
        <v>90</v>
      </c>
      <c r="J366" s="8" t="s">
        <v>279</v>
      </c>
      <c r="K366" s="8">
        <v>0</v>
      </c>
      <c r="L366" s="8">
        <v>3</v>
      </c>
      <c r="M366" s="8">
        <v>3</v>
      </c>
      <c r="N366" s="9">
        <v>12</v>
      </c>
      <c r="O366" s="9">
        <v>36</v>
      </c>
      <c r="P366" s="9">
        <v>48</v>
      </c>
      <c r="Q366" s="9">
        <v>20</v>
      </c>
      <c r="R366" s="9">
        <v>84</v>
      </c>
      <c r="S366" s="9"/>
      <c r="T366" s="8"/>
      <c r="U366" s="8" t="s">
        <v>271</v>
      </c>
      <c r="V366" s="8" t="s">
        <v>272</v>
      </c>
      <c r="W366" s="10">
        <v>80</v>
      </c>
      <c r="X366" s="11" t="s">
        <v>1302</v>
      </c>
      <c r="Y366" s="11" t="s">
        <v>1303</v>
      </c>
      <c r="Z366" s="11" t="s">
        <v>1304</v>
      </c>
    </row>
    <row r="367" ht="31" customHeight="1" spans="1:26">
      <c r="A367" s="8" t="s">
        <v>1264</v>
      </c>
      <c r="B367" s="8" t="s">
        <v>51</v>
      </c>
      <c r="C367" s="8" t="s">
        <v>1305</v>
      </c>
      <c r="D367" s="8" t="s">
        <v>267</v>
      </c>
      <c r="E367" s="8" t="s">
        <v>317</v>
      </c>
      <c r="F367" s="8" t="s">
        <v>278</v>
      </c>
      <c r="G367" s="8" t="s">
        <v>90</v>
      </c>
      <c r="H367" s="8" t="s">
        <v>90</v>
      </c>
      <c r="I367" s="8" t="s">
        <v>90</v>
      </c>
      <c r="J367" s="8" t="s">
        <v>279</v>
      </c>
      <c r="K367" s="8">
        <v>0</v>
      </c>
      <c r="L367" s="8">
        <v>20</v>
      </c>
      <c r="M367" s="8">
        <v>20</v>
      </c>
      <c r="N367" s="9">
        <v>52</v>
      </c>
      <c r="O367" s="9">
        <v>44</v>
      </c>
      <c r="P367" s="9">
        <v>48</v>
      </c>
      <c r="Q367" s="9">
        <v>32</v>
      </c>
      <c r="R367" s="9">
        <v>76</v>
      </c>
      <c r="S367" s="9"/>
      <c r="T367" s="8"/>
      <c r="U367" s="8" t="s">
        <v>271</v>
      </c>
      <c r="V367" s="8" t="s">
        <v>272</v>
      </c>
      <c r="W367" s="10">
        <v>120</v>
      </c>
      <c r="X367" s="11" t="s">
        <v>1306</v>
      </c>
      <c r="Y367" s="11" t="s">
        <v>1307</v>
      </c>
      <c r="Z367" s="11" t="s">
        <v>1308</v>
      </c>
    </row>
    <row r="368" ht="76" spans="1:26">
      <c r="A368" s="8" t="s">
        <v>1264</v>
      </c>
      <c r="B368" s="8" t="s">
        <v>51</v>
      </c>
      <c r="C368" s="8" t="s">
        <v>1309</v>
      </c>
      <c r="D368" s="8" t="s">
        <v>267</v>
      </c>
      <c r="E368" s="8" t="s">
        <v>268</v>
      </c>
      <c r="F368" s="8" t="s">
        <v>269</v>
      </c>
      <c r="G368" s="8" t="s">
        <v>90</v>
      </c>
      <c r="H368" s="8" t="s">
        <v>90</v>
      </c>
      <c r="I368" s="8" t="s">
        <v>90</v>
      </c>
      <c r="J368" s="8" t="s">
        <v>270</v>
      </c>
      <c r="K368" s="8">
        <v>4</v>
      </c>
      <c r="L368" s="8">
        <v>8</v>
      </c>
      <c r="M368" s="8">
        <v>12</v>
      </c>
      <c r="N368" s="9">
        <v>80</v>
      </c>
      <c r="O368" s="9">
        <v>54</v>
      </c>
      <c r="P368" s="9">
        <v>69</v>
      </c>
      <c r="Q368" s="9">
        <v>108</v>
      </c>
      <c r="R368" s="9">
        <v>60</v>
      </c>
      <c r="S368" s="9"/>
      <c r="T368" s="8"/>
      <c r="U368" s="8" t="s">
        <v>280</v>
      </c>
      <c r="V368" s="8" t="s">
        <v>272</v>
      </c>
      <c r="W368" s="10">
        <v>130</v>
      </c>
      <c r="X368" s="11" t="s">
        <v>1310</v>
      </c>
      <c r="Y368" s="11" t="s">
        <v>1311</v>
      </c>
      <c r="Z368" s="11" t="s">
        <v>1312</v>
      </c>
    </row>
    <row r="369" ht="61" spans="1:26">
      <c r="A369" s="8" t="s">
        <v>1264</v>
      </c>
      <c r="B369" s="8" t="s">
        <v>51</v>
      </c>
      <c r="C369" s="8" t="s">
        <v>1313</v>
      </c>
      <c r="D369" s="8" t="s">
        <v>267</v>
      </c>
      <c r="E369" s="8" t="s">
        <v>317</v>
      </c>
      <c r="F369" s="8" t="s">
        <v>278</v>
      </c>
      <c r="G369" s="8" t="s">
        <v>90</v>
      </c>
      <c r="H369" s="8" t="s">
        <v>90</v>
      </c>
      <c r="I369" s="8" t="s">
        <v>90</v>
      </c>
      <c r="J369" s="8" t="s">
        <v>279</v>
      </c>
      <c r="K369" s="8">
        <v>0</v>
      </c>
      <c r="L369" s="8">
        <v>16</v>
      </c>
      <c r="M369" s="8">
        <v>16</v>
      </c>
      <c r="N369" s="9">
        <v>32</v>
      </c>
      <c r="O369" s="9">
        <v>40</v>
      </c>
      <c r="P369" s="9">
        <v>44</v>
      </c>
      <c r="Q369" s="9">
        <v>36</v>
      </c>
      <c r="R369" s="9">
        <v>60</v>
      </c>
      <c r="S369" s="9"/>
      <c r="T369" s="8"/>
      <c r="U369" s="8" t="s">
        <v>280</v>
      </c>
      <c r="V369" s="8" t="s">
        <v>271</v>
      </c>
      <c r="W369" s="10">
        <v>80</v>
      </c>
      <c r="X369" s="11" t="s">
        <v>1302</v>
      </c>
      <c r="Y369" s="11" t="s">
        <v>1307</v>
      </c>
      <c r="Z369" s="11" t="s">
        <v>1276</v>
      </c>
    </row>
    <row r="370" ht="31" customHeight="1" spans="1:26">
      <c r="A370" s="8" t="s">
        <v>1264</v>
      </c>
      <c r="B370" s="8" t="s">
        <v>51</v>
      </c>
      <c r="C370" s="8" t="s">
        <v>1314</v>
      </c>
      <c r="D370" s="8" t="s">
        <v>267</v>
      </c>
      <c r="E370" s="8" t="s">
        <v>317</v>
      </c>
      <c r="F370" s="8" t="s">
        <v>278</v>
      </c>
      <c r="G370" s="8" t="s">
        <v>90</v>
      </c>
      <c r="H370" s="8" t="s">
        <v>73</v>
      </c>
      <c r="I370" s="8" t="s">
        <v>90</v>
      </c>
      <c r="J370" s="8" t="s">
        <v>279</v>
      </c>
      <c r="K370" s="8">
        <v>0</v>
      </c>
      <c r="L370" s="8">
        <v>2</v>
      </c>
      <c r="M370" s="8">
        <v>2</v>
      </c>
      <c r="N370" s="9">
        <v>84</v>
      </c>
      <c r="O370" s="9">
        <v>92</v>
      </c>
      <c r="P370" s="9">
        <v>36</v>
      </c>
      <c r="Q370" s="9">
        <v>80</v>
      </c>
      <c r="R370" s="9">
        <v>52</v>
      </c>
      <c r="S370" s="9"/>
      <c r="T370" s="8"/>
      <c r="U370" s="8" t="s">
        <v>280</v>
      </c>
      <c r="V370" s="8" t="s">
        <v>271</v>
      </c>
      <c r="W370" s="10">
        <v>60</v>
      </c>
      <c r="X370" s="11" t="s">
        <v>1315</v>
      </c>
      <c r="Y370" s="11" t="s">
        <v>1316</v>
      </c>
      <c r="Z370" s="11" t="s">
        <v>1276</v>
      </c>
    </row>
    <row r="371" ht="31" customHeight="1" spans="1:26">
      <c r="A371" s="8" t="s">
        <v>1264</v>
      </c>
      <c r="B371" s="8" t="s">
        <v>51</v>
      </c>
      <c r="C371" s="8" t="s">
        <v>1317</v>
      </c>
      <c r="D371" s="8" t="s">
        <v>267</v>
      </c>
      <c r="E371" s="8" t="s">
        <v>277</v>
      </c>
      <c r="F371" s="8" t="s">
        <v>278</v>
      </c>
      <c r="G371" s="8" t="s">
        <v>90</v>
      </c>
      <c r="H371" s="8" t="s">
        <v>90</v>
      </c>
      <c r="I371" s="8" t="s">
        <v>90</v>
      </c>
      <c r="J371" s="8" t="s">
        <v>279</v>
      </c>
      <c r="K371" s="8">
        <v>0</v>
      </c>
      <c r="L371" s="8">
        <v>4</v>
      </c>
      <c r="M371" s="8">
        <v>4</v>
      </c>
      <c r="N371" s="9">
        <v>16</v>
      </c>
      <c r="O371" s="9">
        <v>16</v>
      </c>
      <c r="P371" s="9">
        <v>68</v>
      </c>
      <c r="Q371" s="9">
        <v>44</v>
      </c>
      <c r="R371" s="9">
        <v>40</v>
      </c>
      <c r="S371" s="9"/>
      <c r="T371" s="8"/>
      <c r="U371" s="8" t="s">
        <v>280</v>
      </c>
      <c r="V371" s="8" t="s">
        <v>271</v>
      </c>
      <c r="W371" s="10">
        <v>40</v>
      </c>
      <c r="X371" s="11" t="s">
        <v>1270</v>
      </c>
      <c r="Y371" s="11" t="s">
        <v>1318</v>
      </c>
      <c r="Z371" s="11" t="s">
        <v>1319</v>
      </c>
    </row>
    <row r="372" ht="46" spans="1:26">
      <c r="A372" s="8" t="s">
        <v>1264</v>
      </c>
      <c r="B372" s="8" t="s">
        <v>51</v>
      </c>
      <c r="C372" s="8" t="s">
        <v>1320</v>
      </c>
      <c r="D372" s="8" t="s">
        <v>267</v>
      </c>
      <c r="E372" s="8" t="s">
        <v>277</v>
      </c>
      <c r="F372" s="8" t="s">
        <v>278</v>
      </c>
      <c r="G372" s="8" t="s">
        <v>90</v>
      </c>
      <c r="H372" s="8" t="s">
        <v>90</v>
      </c>
      <c r="I372" s="8" t="s">
        <v>90</v>
      </c>
      <c r="J372" s="8" t="s">
        <v>279</v>
      </c>
      <c r="K372" s="8">
        <v>0</v>
      </c>
      <c r="L372" s="8">
        <v>2</v>
      </c>
      <c r="M372" s="8">
        <v>2</v>
      </c>
      <c r="N372" s="9">
        <v>28</v>
      </c>
      <c r="O372" s="9">
        <v>32</v>
      </c>
      <c r="P372" s="9">
        <v>44</v>
      </c>
      <c r="Q372" s="9">
        <v>24</v>
      </c>
      <c r="R372" s="9">
        <v>40</v>
      </c>
      <c r="S372" s="9"/>
      <c r="T372" s="8"/>
      <c r="U372" s="8" t="s">
        <v>280</v>
      </c>
      <c r="V372" s="8" t="s">
        <v>271</v>
      </c>
      <c r="W372" s="10">
        <v>20</v>
      </c>
      <c r="X372" s="11" t="s">
        <v>1302</v>
      </c>
      <c r="Y372" s="11" t="s">
        <v>1321</v>
      </c>
      <c r="Z372" s="11" t="s">
        <v>1322</v>
      </c>
    </row>
    <row r="373" ht="31" spans="1:26">
      <c r="A373" s="8" t="s">
        <v>1264</v>
      </c>
      <c r="B373" s="8" t="s">
        <v>51</v>
      </c>
      <c r="C373" s="8" t="s">
        <v>1323</v>
      </c>
      <c r="D373" s="8" t="s">
        <v>267</v>
      </c>
      <c r="E373" s="8" t="s">
        <v>277</v>
      </c>
      <c r="F373" s="8" t="s">
        <v>278</v>
      </c>
      <c r="G373" s="8" t="s">
        <v>90</v>
      </c>
      <c r="H373" s="8" t="s">
        <v>73</v>
      </c>
      <c r="I373" s="8" t="s">
        <v>90</v>
      </c>
      <c r="J373" s="8" t="s">
        <v>279</v>
      </c>
      <c r="K373" s="8">
        <v>0</v>
      </c>
      <c r="L373" s="8">
        <v>12</v>
      </c>
      <c r="M373" s="8">
        <v>12</v>
      </c>
      <c r="N373" s="9">
        <v>4</v>
      </c>
      <c r="O373" s="9">
        <v>12</v>
      </c>
      <c r="P373" s="9">
        <v>0</v>
      </c>
      <c r="Q373" s="9">
        <v>8</v>
      </c>
      <c r="R373" s="9">
        <v>36</v>
      </c>
      <c r="S373" s="9"/>
      <c r="T373" s="8"/>
      <c r="U373" s="8" t="s">
        <v>280</v>
      </c>
      <c r="V373" s="8" t="s">
        <v>271</v>
      </c>
      <c r="W373" s="10">
        <v>50</v>
      </c>
      <c r="X373" s="11" t="s">
        <v>1324</v>
      </c>
      <c r="Y373" s="11" t="s">
        <v>1325</v>
      </c>
      <c r="Z373" s="11" t="s">
        <v>1276</v>
      </c>
    </row>
    <row r="374" ht="46" spans="1:26">
      <c r="A374" s="8" t="s">
        <v>1264</v>
      </c>
      <c r="B374" s="8" t="s">
        <v>51</v>
      </c>
      <c r="C374" s="8" t="s">
        <v>1326</v>
      </c>
      <c r="D374" s="8" t="s">
        <v>285</v>
      </c>
      <c r="E374" s="8" t="s">
        <v>286</v>
      </c>
      <c r="F374" s="8" t="s">
        <v>287</v>
      </c>
      <c r="G374" s="8" t="s">
        <v>90</v>
      </c>
      <c r="H374" s="8" t="s">
        <v>90</v>
      </c>
      <c r="I374" s="8" t="s">
        <v>90</v>
      </c>
      <c r="J374" s="8" t="s">
        <v>279</v>
      </c>
      <c r="K374" s="8">
        <v>0</v>
      </c>
      <c r="L374" s="8">
        <v>16</v>
      </c>
      <c r="M374" s="8">
        <v>16</v>
      </c>
      <c r="N374" s="9">
        <v>16</v>
      </c>
      <c r="O374" s="9">
        <v>12</v>
      </c>
      <c r="P374" s="9">
        <v>0</v>
      </c>
      <c r="Q374" s="9">
        <v>16</v>
      </c>
      <c r="R374" s="9">
        <v>24</v>
      </c>
      <c r="S374" s="9"/>
      <c r="T374" s="8"/>
      <c r="U374" s="8" t="s">
        <v>288</v>
      </c>
      <c r="V374" s="8" t="s">
        <v>271</v>
      </c>
      <c r="W374" s="10">
        <v>40</v>
      </c>
      <c r="X374" s="11" t="s">
        <v>1327</v>
      </c>
      <c r="Y374" s="11" t="s">
        <v>1328</v>
      </c>
      <c r="Z374" s="11" t="s">
        <v>1276</v>
      </c>
    </row>
    <row r="375" ht="46" customHeight="1" spans="1:26">
      <c r="A375" s="8" t="s">
        <v>1264</v>
      </c>
      <c r="B375" s="8" t="s">
        <v>51</v>
      </c>
      <c r="C375" s="8" t="s">
        <v>1329</v>
      </c>
      <c r="D375" s="8" t="s">
        <v>285</v>
      </c>
      <c r="E375" s="8" t="s">
        <v>286</v>
      </c>
      <c r="F375" s="8" t="s">
        <v>287</v>
      </c>
      <c r="G375" s="8" t="s">
        <v>90</v>
      </c>
      <c r="H375" s="8" t="s">
        <v>90</v>
      </c>
      <c r="I375" s="8" t="s">
        <v>90</v>
      </c>
      <c r="J375" s="8" t="s">
        <v>293</v>
      </c>
      <c r="K375" s="8">
        <v>3</v>
      </c>
      <c r="L375" s="8">
        <v>0</v>
      </c>
      <c r="M375" s="8">
        <v>3</v>
      </c>
      <c r="N375" s="9">
        <v>4</v>
      </c>
      <c r="O375" s="9">
        <v>12</v>
      </c>
      <c r="P375" s="9">
        <v>0</v>
      </c>
      <c r="Q375" s="9">
        <v>16</v>
      </c>
      <c r="R375" s="9">
        <v>24</v>
      </c>
      <c r="S375" s="9"/>
      <c r="T375" s="8"/>
      <c r="U375" s="8" t="s">
        <v>288</v>
      </c>
      <c r="V375" s="8" t="s">
        <v>280</v>
      </c>
      <c r="W375" s="10">
        <v>60</v>
      </c>
      <c r="X375" s="11" t="s">
        <v>1330</v>
      </c>
      <c r="Y375" s="11" t="s">
        <v>1331</v>
      </c>
      <c r="Z375" s="11" t="s">
        <v>1276</v>
      </c>
    </row>
    <row r="376" ht="242" customHeight="1" spans="1:26">
      <c r="A376" s="8" t="s">
        <v>1264</v>
      </c>
      <c r="B376" s="8" t="s">
        <v>51</v>
      </c>
      <c r="C376" s="8" t="s">
        <v>1332</v>
      </c>
      <c r="D376" s="8" t="s">
        <v>285</v>
      </c>
      <c r="E376" s="8" t="s">
        <v>286</v>
      </c>
      <c r="F376" s="8" t="s">
        <v>287</v>
      </c>
      <c r="G376" s="8" t="s">
        <v>90</v>
      </c>
      <c r="H376" s="8" t="s">
        <v>90</v>
      </c>
      <c r="I376" s="8" t="s">
        <v>90</v>
      </c>
      <c r="J376" s="8" t="s">
        <v>293</v>
      </c>
      <c r="K376" s="8">
        <v>2</v>
      </c>
      <c r="L376" s="8">
        <v>0</v>
      </c>
      <c r="M376" s="8">
        <v>2</v>
      </c>
      <c r="N376" s="9">
        <v>0</v>
      </c>
      <c r="O376" s="9">
        <v>1</v>
      </c>
      <c r="P376" s="9">
        <v>4</v>
      </c>
      <c r="Q376" s="9">
        <v>0</v>
      </c>
      <c r="R376" s="9">
        <v>16</v>
      </c>
      <c r="S376" s="9"/>
      <c r="T376" s="8"/>
      <c r="U376" s="8" t="s">
        <v>288</v>
      </c>
      <c r="V376" s="8" t="s">
        <v>280</v>
      </c>
      <c r="W376" s="10">
        <v>20</v>
      </c>
      <c r="X376" s="11" t="s">
        <v>1330</v>
      </c>
      <c r="Y376" s="11" t="s">
        <v>1331</v>
      </c>
      <c r="Z376" s="11" t="s">
        <v>1276</v>
      </c>
    </row>
    <row r="377" ht="46" customHeight="1" spans="1:26">
      <c r="A377" s="8" t="s">
        <v>1264</v>
      </c>
      <c r="B377" s="8" t="s">
        <v>51</v>
      </c>
      <c r="C377" s="8" t="s">
        <v>1333</v>
      </c>
      <c r="D377" s="8" t="s">
        <v>267</v>
      </c>
      <c r="E377" s="8" t="s">
        <v>268</v>
      </c>
      <c r="F377" s="8" t="s">
        <v>269</v>
      </c>
      <c r="G377" s="8" t="s">
        <v>90</v>
      </c>
      <c r="H377" s="8" t="s">
        <v>73</v>
      </c>
      <c r="I377" s="8" t="s">
        <v>90</v>
      </c>
      <c r="J377" s="8" t="s">
        <v>270</v>
      </c>
      <c r="K377" s="8">
        <v>2</v>
      </c>
      <c r="L377" s="8">
        <v>2</v>
      </c>
      <c r="M377" s="8">
        <v>4</v>
      </c>
      <c r="N377" s="9">
        <v>56</v>
      </c>
      <c r="O377" s="9">
        <v>52</v>
      </c>
      <c r="P377" s="9">
        <v>56</v>
      </c>
      <c r="Q377" s="9">
        <v>0</v>
      </c>
      <c r="R377" s="9">
        <v>12</v>
      </c>
      <c r="S377" s="9"/>
      <c r="T377" s="8"/>
      <c r="U377" s="8" t="s">
        <v>288</v>
      </c>
      <c r="V377" s="8" t="s">
        <v>280</v>
      </c>
      <c r="W377" s="10">
        <v>20</v>
      </c>
      <c r="X377" s="11" t="s">
        <v>1334</v>
      </c>
      <c r="Y377" s="11" t="s">
        <v>1335</v>
      </c>
      <c r="Z377" s="11" t="s">
        <v>1336</v>
      </c>
    </row>
    <row r="378" ht="176" customHeight="1" spans="1:26">
      <c r="A378" s="8" t="s">
        <v>1264</v>
      </c>
      <c r="B378" s="8" t="s">
        <v>51</v>
      </c>
      <c r="C378" s="8" t="s">
        <v>1337</v>
      </c>
      <c r="D378" s="8" t="s">
        <v>267</v>
      </c>
      <c r="E378" s="8" t="s">
        <v>277</v>
      </c>
      <c r="F378" s="8" t="s">
        <v>278</v>
      </c>
      <c r="G378" s="8" t="s">
        <v>90</v>
      </c>
      <c r="H378" s="8" t="s">
        <v>73</v>
      </c>
      <c r="I378" s="8" t="s">
        <v>90</v>
      </c>
      <c r="J378" s="8" t="s">
        <v>279</v>
      </c>
      <c r="K378" s="8">
        <v>0</v>
      </c>
      <c r="L378" s="8">
        <v>2</v>
      </c>
      <c r="M378" s="8">
        <v>2</v>
      </c>
      <c r="N378" s="9">
        <v>20</v>
      </c>
      <c r="O378" s="9">
        <v>17</v>
      </c>
      <c r="P378" s="9">
        <v>12</v>
      </c>
      <c r="Q378" s="9">
        <v>28</v>
      </c>
      <c r="R378" s="9">
        <v>8</v>
      </c>
      <c r="S378" s="9"/>
      <c r="T378" s="8"/>
      <c r="U378" s="8" t="s">
        <v>288</v>
      </c>
      <c r="V378" s="8" t="s">
        <v>280</v>
      </c>
      <c r="W378" s="10">
        <v>8</v>
      </c>
      <c r="X378" s="11" t="s">
        <v>1338</v>
      </c>
      <c r="Y378" s="11" t="s">
        <v>1267</v>
      </c>
      <c r="Z378" s="11" t="s">
        <v>1339</v>
      </c>
    </row>
    <row r="379" ht="46" customHeight="1" spans="1:26">
      <c r="A379" s="8" t="s">
        <v>1264</v>
      </c>
      <c r="B379" s="8" t="s">
        <v>51</v>
      </c>
      <c r="C379" s="8" t="s">
        <v>1340</v>
      </c>
      <c r="D379" s="8" t="s">
        <v>267</v>
      </c>
      <c r="E379" s="8" t="s">
        <v>277</v>
      </c>
      <c r="F379" s="8" t="s">
        <v>278</v>
      </c>
      <c r="G379" s="8" t="s">
        <v>90</v>
      </c>
      <c r="H379" s="8" t="s">
        <v>90</v>
      </c>
      <c r="I379" s="8" t="s">
        <v>90</v>
      </c>
      <c r="J379" s="8" t="s">
        <v>279</v>
      </c>
      <c r="K379" s="8">
        <v>0</v>
      </c>
      <c r="L379" s="8">
        <v>16</v>
      </c>
      <c r="M379" s="8">
        <v>16</v>
      </c>
      <c r="N379" s="9">
        <v>8</v>
      </c>
      <c r="O379" s="9">
        <v>8</v>
      </c>
      <c r="P379" s="9">
        <v>8</v>
      </c>
      <c r="Q379" s="9">
        <v>8</v>
      </c>
      <c r="R379" s="9">
        <v>0</v>
      </c>
      <c r="S379" s="9"/>
      <c r="T379" s="8"/>
      <c r="U379" s="8" t="s">
        <v>301</v>
      </c>
      <c r="V379" s="8" t="s">
        <v>271</v>
      </c>
      <c r="W379" s="10">
        <v>20</v>
      </c>
      <c r="X379" s="11" t="s">
        <v>1341</v>
      </c>
      <c r="Y379" s="11" t="s">
        <v>1342</v>
      </c>
      <c r="Z379" s="11" t="s">
        <v>1276</v>
      </c>
    </row>
    <row r="380" ht="46" customHeight="1" spans="1:26">
      <c r="A380" s="8" t="s">
        <v>1264</v>
      </c>
      <c r="B380" s="8" t="s">
        <v>51</v>
      </c>
      <c r="C380" s="8" t="s">
        <v>1343</v>
      </c>
      <c r="D380" s="8" t="s">
        <v>285</v>
      </c>
      <c r="E380" s="8" t="s">
        <v>286</v>
      </c>
      <c r="F380" s="8" t="s">
        <v>287</v>
      </c>
      <c r="G380" s="8" t="s">
        <v>90</v>
      </c>
      <c r="H380" s="8" t="s">
        <v>90</v>
      </c>
      <c r="I380" s="8" t="s">
        <v>90</v>
      </c>
      <c r="J380" s="8" t="s">
        <v>279</v>
      </c>
      <c r="K380" s="8">
        <v>0</v>
      </c>
      <c r="L380" s="8">
        <v>16</v>
      </c>
      <c r="M380" s="8">
        <v>16</v>
      </c>
      <c r="N380" s="9">
        <v>0</v>
      </c>
      <c r="O380" s="9">
        <v>1</v>
      </c>
      <c r="P380" s="9">
        <v>0</v>
      </c>
      <c r="Q380" s="9">
        <v>0</v>
      </c>
      <c r="R380" s="9">
        <v>0</v>
      </c>
      <c r="S380" s="9"/>
      <c r="T380" s="8"/>
      <c r="U380" s="8" t="s">
        <v>301</v>
      </c>
      <c r="V380" s="8" t="s">
        <v>288</v>
      </c>
      <c r="W380" s="10">
        <v>8</v>
      </c>
      <c r="X380" s="11" t="s">
        <v>1344</v>
      </c>
      <c r="Y380" s="11" t="s">
        <v>1345</v>
      </c>
      <c r="Z380" s="11" t="s">
        <v>1336</v>
      </c>
    </row>
    <row r="381" ht="46" customHeight="1" spans="1:26">
      <c r="A381" s="8" t="s">
        <v>1264</v>
      </c>
      <c r="B381" s="8" t="s">
        <v>51</v>
      </c>
      <c r="C381" s="8" t="s">
        <v>1346</v>
      </c>
      <c r="D381" s="8" t="s">
        <v>285</v>
      </c>
      <c r="E381" s="8" t="s">
        <v>286</v>
      </c>
      <c r="F381" s="8" t="s">
        <v>287</v>
      </c>
      <c r="G381" s="8" t="s">
        <v>90</v>
      </c>
      <c r="H381" s="8" t="s">
        <v>90</v>
      </c>
      <c r="I381" s="8" t="s">
        <v>90</v>
      </c>
      <c r="J381" s="8" t="s">
        <v>293</v>
      </c>
      <c r="K381" s="8">
        <v>3</v>
      </c>
      <c r="L381" s="8">
        <v>0</v>
      </c>
      <c r="M381" s="8">
        <v>3</v>
      </c>
      <c r="N381" s="9">
        <v>0</v>
      </c>
      <c r="O381" s="9">
        <v>0</v>
      </c>
      <c r="P381" s="9">
        <v>0</v>
      </c>
      <c r="Q381" s="9">
        <v>0</v>
      </c>
      <c r="R381" s="9">
        <v>0</v>
      </c>
      <c r="S381" s="9"/>
      <c r="T381" s="8"/>
      <c r="U381" s="8" t="s">
        <v>301</v>
      </c>
      <c r="V381" s="8" t="s">
        <v>288</v>
      </c>
      <c r="W381" s="10">
        <v>8</v>
      </c>
      <c r="X381" s="11" t="s">
        <v>1347</v>
      </c>
      <c r="Y381" s="11" t="s">
        <v>1348</v>
      </c>
      <c r="Z381" s="11" t="s">
        <v>1349</v>
      </c>
    </row>
    <row r="382" ht="61" customHeight="1" spans="1:26">
      <c r="A382" s="8" t="s">
        <v>1264</v>
      </c>
      <c r="B382" s="8" t="s">
        <v>51</v>
      </c>
      <c r="C382" s="8" t="s">
        <v>1350</v>
      </c>
      <c r="D382" s="8" t="s">
        <v>285</v>
      </c>
      <c r="E382" s="8" t="s">
        <v>286</v>
      </c>
      <c r="F382" s="8" t="s">
        <v>287</v>
      </c>
      <c r="G382" s="8" t="s">
        <v>90</v>
      </c>
      <c r="H382" s="8" t="s">
        <v>90</v>
      </c>
      <c r="I382" s="8" t="s">
        <v>90</v>
      </c>
      <c r="J382" s="8" t="s">
        <v>293</v>
      </c>
      <c r="K382" s="8">
        <v>2</v>
      </c>
      <c r="L382" s="8">
        <v>0</v>
      </c>
      <c r="M382" s="8">
        <v>2</v>
      </c>
      <c r="N382" s="9">
        <v>0</v>
      </c>
      <c r="O382" s="9">
        <v>0</v>
      </c>
      <c r="P382" s="9">
        <v>0</v>
      </c>
      <c r="Q382" s="9">
        <v>0</v>
      </c>
      <c r="R382" s="9">
        <v>0</v>
      </c>
      <c r="S382" s="9"/>
      <c r="T382" s="8"/>
      <c r="U382" s="8" t="s">
        <v>301</v>
      </c>
      <c r="V382" s="8" t="s">
        <v>288</v>
      </c>
      <c r="W382" s="10">
        <v>8</v>
      </c>
      <c r="X382" s="11" t="s">
        <v>1295</v>
      </c>
      <c r="Y382" s="11" t="s">
        <v>1351</v>
      </c>
      <c r="Z382" s="11" t="s">
        <v>1268</v>
      </c>
    </row>
    <row r="383" ht="46" customHeight="1" spans="1:26">
      <c r="A383" s="8" t="s">
        <v>1264</v>
      </c>
      <c r="B383" s="8" t="s">
        <v>51</v>
      </c>
      <c r="C383" s="8" t="s">
        <v>1352</v>
      </c>
      <c r="D383" s="8" t="s">
        <v>267</v>
      </c>
      <c r="E383" s="8" t="s">
        <v>277</v>
      </c>
      <c r="F383" s="8" t="s">
        <v>278</v>
      </c>
      <c r="G383" s="8" t="s">
        <v>73</v>
      </c>
      <c r="H383" s="8" t="s">
        <v>73</v>
      </c>
      <c r="I383" s="8" t="s">
        <v>90</v>
      </c>
      <c r="J383" s="8" t="s">
        <v>279</v>
      </c>
      <c r="K383" s="8">
        <v>0</v>
      </c>
      <c r="L383" s="8">
        <v>8</v>
      </c>
      <c r="M383" s="8">
        <v>8</v>
      </c>
      <c r="N383" s="9">
        <v>0</v>
      </c>
      <c r="O383" s="9">
        <v>4</v>
      </c>
      <c r="P383" s="9">
        <v>0</v>
      </c>
      <c r="Q383" s="9">
        <v>0</v>
      </c>
      <c r="R383" s="9">
        <v>0</v>
      </c>
      <c r="S383" s="9"/>
      <c r="T383" s="8"/>
      <c r="U383" s="8" t="s">
        <v>301</v>
      </c>
      <c r="V383" s="8" t="s">
        <v>288</v>
      </c>
      <c r="W383" s="10">
        <v>4</v>
      </c>
      <c r="X383" s="11" t="s">
        <v>1295</v>
      </c>
      <c r="Y383" s="11" t="s">
        <v>1353</v>
      </c>
      <c r="Z383" s="11" t="s">
        <v>1354</v>
      </c>
    </row>
    <row r="384" ht="46" customHeight="1" spans="1:26">
      <c r="A384" s="8" t="s">
        <v>1264</v>
      </c>
      <c r="B384" s="8" t="s">
        <v>51</v>
      </c>
      <c r="C384" s="8" t="s">
        <v>1355</v>
      </c>
      <c r="D384" s="8" t="s">
        <v>267</v>
      </c>
      <c r="E384" s="8" t="s">
        <v>277</v>
      </c>
      <c r="F384" s="8" t="s">
        <v>278</v>
      </c>
      <c r="G384" s="8" t="s">
        <v>90</v>
      </c>
      <c r="H384" s="8" t="s">
        <v>73</v>
      </c>
      <c r="I384" s="8" t="s">
        <v>90</v>
      </c>
      <c r="J384" s="8" t="s">
        <v>279</v>
      </c>
      <c r="K384" s="8">
        <v>0</v>
      </c>
      <c r="L384" s="8">
        <v>2</v>
      </c>
      <c r="M384" s="8">
        <v>2</v>
      </c>
      <c r="N384" s="9">
        <v>8</v>
      </c>
      <c r="O384" s="9">
        <v>8</v>
      </c>
      <c r="P384" s="9">
        <v>0</v>
      </c>
      <c r="Q384" s="9">
        <v>8</v>
      </c>
      <c r="R384" s="9">
        <v>0</v>
      </c>
      <c r="S384" s="9"/>
      <c r="T384" s="8"/>
      <c r="U384" s="8" t="s">
        <v>301</v>
      </c>
      <c r="V384" s="8" t="s">
        <v>288</v>
      </c>
      <c r="W384" s="10">
        <v>8</v>
      </c>
      <c r="X384" s="11" t="s">
        <v>1356</v>
      </c>
      <c r="Y384" s="11" t="s">
        <v>1351</v>
      </c>
      <c r="Z384" s="11" t="s">
        <v>1268</v>
      </c>
    </row>
    <row r="385" ht="46" customHeight="1" spans="1:26">
      <c r="A385" s="8" t="s">
        <v>1264</v>
      </c>
      <c r="B385" s="8" t="s">
        <v>51</v>
      </c>
      <c r="C385" s="8" t="s">
        <v>1357</v>
      </c>
      <c r="D385" s="8" t="s">
        <v>267</v>
      </c>
      <c r="E385" s="8" t="s">
        <v>277</v>
      </c>
      <c r="F385" s="8" t="s">
        <v>278</v>
      </c>
      <c r="G385" s="8" t="s">
        <v>90</v>
      </c>
      <c r="H385" s="8" t="s">
        <v>73</v>
      </c>
      <c r="I385" s="8" t="s">
        <v>90</v>
      </c>
      <c r="J385" s="8" t="s">
        <v>279</v>
      </c>
      <c r="K385" s="8">
        <v>0</v>
      </c>
      <c r="L385" s="8">
        <v>4</v>
      </c>
      <c r="M385" s="8">
        <v>4</v>
      </c>
      <c r="N385" s="9">
        <v>0</v>
      </c>
      <c r="O385" s="9">
        <v>0</v>
      </c>
      <c r="P385" s="9">
        <v>0</v>
      </c>
      <c r="Q385" s="9">
        <v>0</v>
      </c>
      <c r="R385" s="9">
        <v>0</v>
      </c>
      <c r="S385" s="9"/>
      <c r="T385" s="8"/>
      <c r="U385" s="8" t="s">
        <v>301</v>
      </c>
      <c r="V385" s="8" t="s">
        <v>288</v>
      </c>
      <c r="W385" s="10">
        <v>8</v>
      </c>
      <c r="X385" s="11" t="s">
        <v>1358</v>
      </c>
      <c r="Y385" s="11" t="s">
        <v>1267</v>
      </c>
      <c r="Z385" s="11" t="s">
        <v>1359</v>
      </c>
    </row>
    <row r="386" ht="46" customHeight="1" spans="1:26">
      <c r="A386" s="8" t="s">
        <v>1264</v>
      </c>
      <c r="B386" s="8" t="s">
        <v>51</v>
      </c>
      <c r="C386" s="8" t="s">
        <v>1360</v>
      </c>
      <c r="D386" s="8" t="s">
        <v>267</v>
      </c>
      <c r="E386" s="8" t="s">
        <v>277</v>
      </c>
      <c r="F386" s="8" t="s">
        <v>278</v>
      </c>
      <c r="G386" s="8" t="s">
        <v>90</v>
      </c>
      <c r="H386" s="8" t="s">
        <v>73</v>
      </c>
      <c r="I386" s="8" t="s">
        <v>90</v>
      </c>
      <c r="J386" s="8" t="s">
        <v>279</v>
      </c>
      <c r="K386" s="8">
        <v>0</v>
      </c>
      <c r="L386" s="8">
        <v>2</v>
      </c>
      <c r="M386" s="8">
        <v>2</v>
      </c>
      <c r="N386" s="9">
        <v>0</v>
      </c>
      <c r="O386" s="9">
        <v>0</v>
      </c>
      <c r="P386" s="9">
        <v>0</v>
      </c>
      <c r="Q386" s="9">
        <v>0</v>
      </c>
      <c r="R386" s="9">
        <v>0</v>
      </c>
      <c r="S386" s="9"/>
      <c r="T386" s="8"/>
      <c r="U386" s="8" t="s">
        <v>301</v>
      </c>
      <c r="V386" s="8" t="s">
        <v>288</v>
      </c>
      <c r="W386" s="10">
        <v>4</v>
      </c>
      <c r="X386" s="11" t="s">
        <v>1361</v>
      </c>
      <c r="Y386" s="11" t="s">
        <v>1267</v>
      </c>
      <c r="Z386" s="11" t="s">
        <v>1268</v>
      </c>
    </row>
    <row r="387" ht="46" customHeight="1" spans="1:26">
      <c r="A387" s="8" t="s">
        <v>1264</v>
      </c>
      <c r="B387" s="8" t="s">
        <v>51</v>
      </c>
      <c r="C387" s="8" t="s">
        <v>1362</v>
      </c>
      <c r="D387" s="8" t="s">
        <v>267</v>
      </c>
      <c r="E387" s="8" t="s">
        <v>277</v>
      </c>
      <c r="F387" s="8" t="s">
        <v>278</v>
      </c>
      <c r="G387" s="8" t="s">
        <v>90</v>
      </c>
      <c r="H387" s="8" t="s">
        <v>73</v>
      </c>
      <c r="I387" s="8" t="s">
        <v>90</v>
      </c>
      <c r="J387" s="8" t="s">
        <v>279</v>
      </c>
      <c r="K387" s="8">
        <v>0</v>
      </c>
      <c r="L387" s="8">
        <v>16</v>
      </c>
      <c r="M387" s="8">
        <v>16</v>
      </c>
      <c r="N387" s="9">
        <v>0</v>
      </c>
      <c r="O387" s="9">
        <v>0</v>
      </c>
      <c r="P387" s="9">
        <v>0</v>
      </c>
      <c r="Q387" s="9">
        <v>0</v>
      </c>
      <c r="R387" s="9">
        <v>0</v>
      </c>
      <c r="S387" s="9"/>
      <c r="T387" s="8"/>
      <c r="U387" s="8" t="s">
        <v>301</v>
      </c>
      <c r="V387" s="8" t="s">
        <v>288</v>
      </c>
      <c r="W387" s="10">
        <v>4</v>
      </c>
      <c r="X387" s="11" t="s">
        <v>1295</v>
      </c>
      <c r="Y387" s="11" t="s">
        <v>1267</v>
      </c>
      <c r="Z387" s="11" t="s">
        <v>1363</v>
      </c>
    </row>
    <row r="388" ht="68" customHeight="1" spans="1:26">
      <c r="A388" s="8" t="s">
        <v>1264</v>
      </c>
      <c r="B388" s="8" t="s">
        <v>51</v>
      </c>
      <c r="C388" s="8" t="s">
        <v>1364</v>
      </c>
      <c r="D388" s="8" t="s">
        <v>285</v>
      </c>
      <c r="E388" s="8" t="s">
        <v>286</v>
      </c>
      <c r="F388" s="8" t="s">
        <v>287</v>
      </c>
      <c r="G388" s="8" t="s">
        <v>90</v>
      </c>
      <c r="H388" s="8" t="s">
        <v>73</v>
      </c>
      <c r="I388" s="8" t="s">
        <v>90</v>
      </c>
      <c r="J388" s="8" t="s">
        <v>293</v>
      </c>
      <c r="K388" s="8">
        <v>1</v>
      </c>
      <c r="L388" s="8">
        <v>0</v>
      </c>
      <c r="M388" s="8">
        <v>1</v>
      </c>
      <c r="N388" s="9">
        <v>0</v>
      </c>
      <c r="O388" s="9">
        <v>0</v>
      </c>
      <c r="P388" s="9">
        <v>0</v>
      </c>
      <c r="Q388" s="9">
        <v>0</v>
      </c>
      <c r="R388" s="9">
        <v>0</v>
      </c>
      <c r="S388" s="9"/>
      <c r="T388" s="8"/>
      <c r="U388" s="8" t="s">
        <v>301</v>
      </c>
      <c r="V388" s="8" t="s">
        <v>288</v>
      </c>
      <c r="W388" s="10">
        <v>4</v>
      </c>
      <c r="X388" s="11" t="s">
        <v>1365</v>
      </c>
      <c r="Y388" s="11" t="s">
        <v>1267</v>
      </c>
      <c r="Z388" s="11" t="s">
        <v>1268</v>
      </c>
    </row>
    <row r="389" ht="34" customHeight="1" spans="1:26">
      <c r="A389" s="8" t="s">
        <v>1264</v>
      </c>
      <c r="B389" s="8" t="s">
        <v>51</v>
      </c>
      <c r="C389" s="8" t="s">
        <v>1366</v>
      </c>
      <c r="D389" s="8" t="s">
        <v>285</v>
      </c>
      <c r="E389" s="8" t="s">
        <v>286</v>
      </c>
      <c r="F389" s="8" t="s">
        <v>287</v>
      </c>
      <c r="G389" s="8" t="s">
        <v>90</v>
      </c>
      <c r="H389" s="8" t="s">
        <v>73</v>
      </c>
      <c r="I389" s="8" t="s">
        <v>90</v>
      </c>
      <c r="J389" s="8" t="s">
        <v>293</v>
      </c>
      <c r="K389" s="8">
        <v>1</v>
      </c>
      <c r="L389" s="8">
        <v>0</v>
      </c>
      <c r="M389" s="8">
        <v>1</v>
      </c>
      <c r="N389" s="9">
        <v>0</v>
      </c>
      <c r="O389" s="9">
        <v>0</v>
      </c>
      <c r="P389" s="9">
        <v>0</v>
      </c>
      <c r="Q389" s="9">
        <v>0</v>
      </c>
      <c r="R389" s="9">
        <v>0</v>
      </c>
      <c r="S389" s="9"/>
      <c r="T389" s="8"/>
      <c r="U389" s="8" t="s">
        <v>301</v>
      </c>
      <c r="V389" s="8" t="s">
        <v>288</v>
      </c>
      <c r="W389" s="10">
        <v>4</v>
      </c>
      <c r="X389" s="11" t="s">
        <v>1367</v>
      </c>
      <c r="Y389" s="11" t="s">
        <v>1368</v>
      </c>
      <c r="Z389" s="11" t="s">
        <v>1369</v>
      </c>
    </row>
    <row r="390" ht="17" customHeight="1" spans="1:26">
      <c r="A390" s="8" t="s">
        <v>1264</v>
      </c>
      <c r="B390" s="8" t="s">
        <v>51</v>
      </c>
      <c r="C390" s="8" t="s">
        <v>1370</v>
      </c>
      <c r="D390" s="8" t="s">
        <v>267</v>
      </c>
      <c r="E390" s="8" t="s">
        <v>277</v>
      </c>
      <c r="F390" s="8" t="s">
        <v>278</v>
      </c>
      <c r="G390" s="8" t="s">
        <v>90</v>
      </c>
      <c r="H390" s="8" t="s">
        <v>73</v>
      </c>
      <c r="I390" s="8" t="s">
        <v>90</v>
      </c>
      <c r="J390" s="8" t="s">
        <v>279</v>
      </c>
      <c r="K390" s="8">
        <v>0</v>
      </c>
      <c r="L390" s="8">
        <v>0</v>
      </c>
      <c r="M390" s="8">
        <v>0</v>
      </c>
      <c r="N390" s="9">
        <v>0</v>
      </c>
      <c r="O390" s="9">
        <v>4</v>
      </c>
      <c r="P390" s="9">
        <v>0</v>
      </c>
      <c r="Q390" s="9">
        <v>0</v>
      </c>
      <c r="R390" s="9">
        <v>0</v>
      </c>
      <c r="S390" s="9"/>
      <c r="T390" s="8"/>
      <c r="U390" s="8" t="s">
        <v>301</v>
      </c>
      <c r="V390" s="8" t="s">
        <v>288</v>
      </c>
      <c r="W390" s="10">
        <v>4</v>
      </c>
      <c r="X390" s="11" t="s">
        <v>1341</v>
      </c>
      <c r="Y390" s="11" t="s">
        <v>1267</v>
      </c>
      <c r="Z390" s="11" t="s">
        <v>1268</v>
      </c>
    </row>
    <row r="391" ht="17" customHeight="1" spans="1:26">
      <c r="A391" s="8" t="s">
        <v>1264</v>
      </c>
      <c r="B391" s="8" t="s">
        <v>51</v>
      </c>
      <c r="C391" s="8" t="s">
        <v>1371</v>
      </c>
      <c r="D391" s="8" t="s">
        <v>267</v>
      </c>
      <c r="E391" s="8" t="s">
        <v>384</v>
      </c>
      <c r="F391" s="8" t="s">
        <v>278</v>
      </c>
      <c r="G391" s="8" t="s">
        <v>90</v>
      </c>
      <c r="H391" s="8" t="s">
        <v>73</v>
      </c>
      <c r="I391" s="8" t="s">
        <v>90</v>
      </c>
      <c r="J391" s="8" t="s">
        <v>279</v>
      </c>
      <c r="K391" s="8">
        <v>0</v>
      </c>
      <c r="L391" s="8">
        <v>2</v>
      </c>
      <c r="M391" s="8">
        <v>2</v>
      </c>
      <c r="N391" s="9">
        <v>0</v>
      </c>
      <c r="O391" s="9">
        <v>2</v>
      </c>
      <c r="P391" s="9">
        <v>0</v>
      </c>
      <c r="Q391" s="9">
        <v>0</v>
      </c>
      <c r="R391" s="9">
        <v>0</v>
      </c>
      <c r="S391" s="9"/>
      <c r="T391" s="8"/>
      <c r="U391" s="8" t="s">
        <v>301</v>
      </c>
      <c r="V391" s="8" t="s">
        <v>288</v>
      </c>
      <c r="W391" s="10">
        <v>4</v>
      </c>
      <c r="X391" s="11" t="s">
        <v>1365</v>
      </c>
      <c r="Y391" s="11" t="s">
        <v>1267</v>
      </c>
      <c r="Z391" s="11" t="s">
        <v>1268</v>
      </c>
    </row>
    <row r="392" ht="34" customHeight="1" spans="1:26">
      <c r="A392" s="15" t="s">
        <v>236</v>
      </c>
      <c r="B392" s="15" t="s">
        <v>99</v>
      </c>
      <c r="C392" s="15" t="s">
        <v>1372</v>
      </c>
      <c r="D392" s="15" t="s">
        <v>607</v>
      </c>
      <c r="E392" s="15" t="s">
        <v>441</v>
      </c>
      <c r="F392" s="15" t="s">
        <v>338</v>
      </c>
      <c r="G392" s="15" t="s">
        <v>90</v>
      </c>
      <c r="H392" s="15" t="s">
        <v>90</v>
      </c>
      <c r="I392" s="15" t="s">
        <v>73</v>
      </c>
      <c r="J392" s="15" t="s">
        <v>279</v>
      </c>
      <c r="K392" s="15">
        <v>0</v>
      </c>
      <c r="L392" s="15">
        <v>16</v>
      </c>
      <c r="M392" s="15">
        <v>16</v>
      </c>
      <c r="N392" s="16">
        <v>72</v>
      </c>
      <c r="O392" s="16">
        <v>32</v>
      </c>
      <c r="P392" s="16">
        <v>56</v>
      </c>
      <c r="Q392" s="16">
        <v>24</v>
      </c>
      <c r="R392" s="16">
        <v>36</v>
      </c>
      <c r="S392" s="16"/>
      <c r="T392" s="15"/>
      <c r="U392" s="15" t="s">
        <v>280</v>
      </c>
      <c r="V392" s="15" t="s">
        <v>271</v>
      </c>
      <c r="W392" s="16">
        <v>70</v>
      </c>
      <c r="X392" s="17" t="s">
        <v>1373</v>
      </c>
      <c r="Y392" s="17" t="s">
        <v>1374</v>
      </c>
      <c r="Z392" s="17" t="s">
        <v>1375</v>
      </c>
    </row>
    <row r="393" ht="68" customHeight="1" spans="1:26">
      <c r="A393" s="15" t="s">
        <v>236</v>
      </c>
      <c r="B393" s="15" t="s">
        <v>99</v>
      </c>
      <c r="C393" s="15" t="s">
        <v>1376</v>
      </c>
      <c r="D393" s="15" t="s">
        <v>607</v>
      </c>
      <c r="E393" s="15" t="s">
        <v>441</v>
      </c>
      <c r="F393" s="15" t="s">
        <v>338</v>
      </c>
      <c r="G393" s="15" t="s">
        <v>90</v>
      </c>
      <c r="H393" s="15" t="s">
        <v>90</v>
      </c>
      <c r="I393" s="15" t="s">
        <v>73</v>
      </c>
      <c r="J393" s="15" t="s">
        <v>279</v>
      </c>
      <c r="K393" s="15">
        <v>0</v>
      </c>
      <c r="L393" s="15">
        <v>16</v>
      </c>
      <c r="M393" s="15">
        <v>16</v>
      </c>
      <c r="N393" s="16">
        <v>40</v>
      </c>
      <c r="O393" s="16">
        <v>12</v>
      </c>
      <c r="P393" s="16">
        <v>0</v>
      </c>
      <c r="Q393" s="16">
        <v>52</v>
      </c>
      <c r="R393" s="16">
        <v>32</v>
      </c>
      <c r="S393" s="16"/>
      <c r="T393" s="15"/>
      <c r="U393" s="15" t="s">
        <v>280</v>
      </c>
      <c r="V393" s="15" t="s">
        <v>271</v>
      </c>
      <c r="W393" s="16">
        <v>80</v>
      </c>
      <c r="X393" s="17" t="s">
        <v>1377</v>
      </c>
      <c r="Y393" s="17" t="s">
        <v>1378</v>
      </c>
      <c r="Z393" s="17" t="s">
        <v>1379</v>
      </c>
    </row>
    <row r="394" ht="68" customHeight="1" spans="1:26">
      <c r="A394" s="15" t="s">
        <v>236</v>
      </c>
      <c r="B394" s="15" t="s">
        <v>99</v>
      </c>
      <c r="C394" s="15" t="s">
        <v>1380</v>
      </c>
      <c r="D394" s="15" t="s">
        <v>607</v>
      </c>
      <c r="E394" s="15" t="s">
        <v>441</v>
      </c>
      <c r="F394" s="15" t="s">
        <v>338</v>
      </c>
      <c r="G394" s="15" t="s">
        <v>90</v>
      </c>
      <c r="H394" s="15" t="s">
        <v>73</v>
      </c>
      <c r="I394" s="15" t="s">
        <v>73</v>
      </c>
      <c r="J394" s="15" t="s">
        <v>279</v>
      </c>
      <c r="K394" s="15">
        <v>0</v>
      </c>
      <c r="L394" s="15">
        <v>8</v>
      </c>
      <c r="M394" s="15">
        <v>8</v>
      </c>
      <c r="N394" s="16">
        <v>0</v>
      </c>
      <c r="O394" s="16">
        <v>0</v>
      </c>
      <c r="P394" s="16">
        <v>0</v>
      </c>
      <c r="Q394" s="16">
        <v>0</v>
      </c>
      <c r="R394" s="16">
        <v>4</v>
      </c>
      <c r="S394" s="16"/>
      <c r="T394" s="15"/>
      <c r="U394" s="15" t="s">
        <v>288</v>
      </c>
      <c r="V394" s="15" t="s">
        <v>280</v>
      </c>
      <c r="W394" s="16">
        <v>40</v>
      </c>
      <c r="X394" s="17" t="s">
        <v>1381</v>
      </c>
      <c r="Y394" s="17" t="s">
        <v>1378</v>
      </c>
      <c r="Z394" s="17" t="s">
        <v>1382</v>
      </c>
    </row>
    <row r="395" ht="102" customHeight="1" spans="1:26">
      <c r="A395" s="15" t="s">
        <v>236</v>
      </c>
      <c r="B395" s="15" t="s">
        <v>99</v>
      </c>
      <c r="C395" s="15" t="s">
        <v>1383</v>
      </c>
      <c r="D395" s="15" t="s">
        <v>607</v>
      </c>
      <c r="E395" s="15" t="s">
        <v>441</v>
      </c>
      <c r="F395" s="15" t="s">
        <v>338</v>
      </c>
      <c r="G395" s="15" t="s">
        <v>90</v>
      </c>
      <c r="H395" s="15" t="s">
        <v>90</v>
      </c>
      <c r="I395" s="15" t="s">
        <v>90</v>
      </c>
      <c r="J395" s="15" t="s">
        <v>279</v>
      </c>
      <c r="K395" s="15">
        <v>0</v>
      </c>
      <c r="L395" s="15">
        <v>8</v>
      </c>
      <c r="M395" s="15">
        <v>8</v>
      </c>
      <c r="N395" s="16">
        <v>0</v>
      </c>
      <c r="O395" s="16">
        <v>0</v>
      </c>
      <c r="P395" s="16">
        <v>0</v>
      </c>
      <c r="Q395" s="16">
        <v>0</v>
      </c>
      <c r="R395" s="16">
        <v>0</v>
      </c>
      <c r="S395" s="16"/>
      <c r="T395" s="15"/>
      <c r="U395" s="15" t="s">
        <v>301</v>
      </c>
      <c r="V395" s="15" t="s">
        <v>288</v>
      </c>
      <c r="W395" s="16">
        <v>20</v>
      </c>
      <c r="X395" s="17" t="s">
        <v>1384</v>
      </c>
      <c r="Y395" s="17" t="s">
        <v>1385</v>
      </c>
      <c r="Z395" s="17" t="s">
        <v>1386</v>
      </c>
    </row>
    <row r="396" ht="68" customHeight="1" spans="1:26">
      <c r="A396" s="15" t="s">
        <v>236</v>
      </c>
      <c r="B396" s="15" t="s">
        <v>99</v>
      </c>
      <c r="C396" s="15" t="s">
        <v>1387</v>
      </c>
      <c r="D396" s="15" t="s">
        <v>607</v>
      </c>
      <c r="E396" s="15" t="s">
        <v>441</v>
      </c>
      <c r="F396" s="15" t="s">
        <v>338</v>
      </c>
      <c r="G396" s="15" t="s">
        <v>90</v>
      </c>
      <c r="H396" s="15" t="s">
        <v>73</v>
      </c>
      <c r="I396" s="15" t="s">
        <v>73</v>
      </c>
      <c r="J396" s="15" t="s">
        <v>279</v>
      </c>
      <c r="K396" s="15">
        <v>0</v>
      </c>
      <c r="L396" s="15">
        <v>8</v>
      </c>
      <c r="M396" s="15">
        <v>8</v>
      </c>
      <c r="N396" s="16">
        <v>4</v>
      </c>
      <c r="O396" s="16">
        <v>8</v>
      </c>
      <c r="P396" s="16">
        <v>0</v>
      </c>
      <c r="Q396" s="16">
        <v>0</v>
      </c>
      <c r="R396" s="16">
        <v>0</v>
      </c>
      <c r="S396" s="16"/>
      <c r="T396" s="15"/>
      <c r="U396" s="15" t="s">
        <v>301</v>
      </c>
      <c r="V396" s="15" t="s">
        <v>280</v>
      </c>
      <c r="W396" s="16">
        <v>30</v>
      </c>
      <c r="X396" s="17" t="s">
        <v>1388</v>
      </c>
      <c r="Y396" s="17" t="s">
        <v>1378</v>
      </c>
      <c r="Z396" s="17" t="s">
        <v>1389</v>
      </c>
    </row>
    <row r="397" ht="68" customHeight="1" spans="1:26">
      <c r="A397" s="15" t="s">
        <v>236</v>
      </c>
      <c r="B397" s="15" t="s">
        <v>99</v>
      </c>
      <c r="C397" s="15" t="s">
        <v>1390</v>
      </c>
      <c r="D397" s="15" t="s">
        <v>607</v>
      </c>
      <c r="E397" s="15" t="s">
        <v>441</v>
      </c>
      <c r="F397" s="15" t="s">
        <v>338</v>
      </c>
      <c r="G397" s="15" t="s">
        <v>90</v>
      </c>
      <c r="H397" s="15" t="s">
        <v>73</v>
      </c>
      <c r="I397" s="15" t="s">
        <v>73</v>
      </c>
      <c r="J397" s="15" t="s">
        <v>279</v>
      </c>
      <c r="K397" s="15">
        <v>0</v>
      </c>
      <c r="L397" s="15">
        <v>8</v>
      </c>
      <c r="M397" s="15">
        <v>8</v>
      </c>
      <c r="N397" s="16">
        <v>20</v>
      </c>
      <c r="O397" s="16">
        <v>0</v>
      </c>
      <c r="P397" s="16">
        <v>12</v>
      </c>
      <c r="Q397" s="16">
        <v>0</v>
      </c>
      <c r="R397" s="16">
        <v>0</v>
      </c>
      <c r="S397" s="16"/>
      <c r="T397" s="15"/>
      <c r="U397" s="15" t="s">
        <v>301</v>
      </c>
      <c r="V397" s="15" t="s">
        <v>288</v>
      </c>
      <c r="W397" s="16">
        <v>20</v>
      </c>
      <c r="X397" s="17" t="s">
        <v>1391</v>
      </c>
      <c r="Y397" s="17" t="s">
        <v>1378</v>
      </c>
      <c r="Z397" s="17" t="s">
        <v>1392</v>
      </c>
    </row>
    <row r="398" ht="68" customHeight="1" spans="1:26">
      <c r="A398" s="8" t="s">
        <v>88</v>
      </c>
      <c r="B398" s="8" t="s">
        <v>51</v>
      </c>
      <c r="C398" s="8" t="s">
        <v>1393</v>
      </c>
      <c r="D398" s="8" t="s">
        <v>267</v>
      </c>
      <c r="E398" s="8" t="s">
        <v>268</v>
      </c>
      <c r="F398" s="8" t="s">
        <v>269</v>
      </c>
      <c r="G398" s="8" t="s">
        <v>90</v>
      </c>
      <c r="H398" s="8" t="s">
        <v>90</v>
      </c>
      <c r="I398" s="8" t="s">
        <v>90</v>
      </c>
      <c r="J398" s="8" t="s">
        <v>347</v>
      </c>
      <c r="K398" s="8">
        <v>4</v>
      </c>
      <c r="L398" s="8">
        <v>8</v>
      </c>
      <c r="M398" s="8">
        <v>12</v>
      </c>
      <c r="N398" s="9">
        <v>184</v>
      </c>
      <c r="O398" s="9">
        <v>312</v>
      </c>
      <c r="P398" s="9">
        <v>264</v>
      </c>
      <c r="Q398" s="9">
        <v>284</v>
      </c>
      <c r="R398" s="9">
        <v>344</v>
      </c>
      <c r="S398" s="9"/>
      <c r="T398" s="8"/>
      <c r="U398" s="8" t="s">
        <v>454</v>
      </c>
      <c r="V398" s="8" t="s">
        <v>507</v>
      </c>
      <c r="W398" s="10">
        <v>500</v>
      </c>
      <c r="X398" s="11" t="s">
        <v>1394</v>
      </c>
      <c r="Y398" s="11" t="s">
        <v>1395</v>
      </c>
      <c r="Z398" s="11" t="s">
        <v>1396</v>
      </c>
    </row>
    <row r="399" ht="68" customHeight="1" spans="1:26">
      <c r="A399" s="8" t="s">
        <v>88</v>
      </c>
      <c r="B399" s="8" t="s">
        <v>51</v>
      </c>
      <c r="C399" s="8" t="s">
        <v>1397</v>
      </c>
      <c r="D399" s="8" t="s">
        <v>267</v>
      </c>
      <c r="E399" s="8" t="s">
        <v>268</v>
      </c>
      <c r="F399" s="8" t="s">
        <v>269</v>
      </c>
      <c r="G399" s="8" t="s">
        <v>90</v>
      </c>
      <c r="H399" s="8" t="s">
        <v>90</v>
      </c>
      <c r="I399" s="8" t="s">
        <v>90</v>
      </c>
      <c r="J399" s="8" t="s">
        <v>347</v>
      </c>
      <c r="K399" s="8">
        <v>4</v>
      </c>
      <c r="L399" s="8">
        <v>8</v>
      </c>
      <c r="M399" s="8">
        <v>12</v>
      </c>
      <c r="N399" s="9">
        <v>52</v>
      </c>
      <c r="O399" s="9">
        <v>48</v>
      </c>
      <c r="P399" s="9">
        <v>68</v>
      </c>
      <c r="Q399" s="9">
        <v>52</v>
      </c>
      <c r="R399" s="9">
        <v>72</v>
      </c>
      <c r="S399" s="9"/>
      <c r="T399" s="8"/>
      <c r="U399" s="8" t="s">
        <v>271</v>
      </c>
      <c r="V399" s="8" t="s">
        <v>272</v>
      </c>
      <c r="W399" s="10">
        <v>130</v>
      </c>
      <c r="X399" s="11" t="s">
        <v>1398</v>
      </c>
      <c r="Y399" s="11" t="s">
        <v>1399</v>
      </c>
      <c r="Z399" s="11" t="s">
        <v>1400</v>
      </c>
    </row>
    <row r="400" ht="68" customHeight="1" spans="1:26">
      <c r="A400" s="8" t="s">
        <v>88</v>
      </c>
      <c r="B400" s="8" t="s">
        <v>51</v>
      </c>
      <c r="C400" s="8" t="s">
        <v>1401</v>
      </c>
      <c r="D400" s="8" t="s">
        <v>285</v>
      </c>
      <c r="E400" s="8" t="s">
        <v>286</v>
      </c>
      <c r="F400" s="8" t="s">
        <v>287</v>
      </c>
      <c r="G400" s="8" t="s">
        <v>90</v>
      </c>
      <c r="H400" s="8" t="s">
        <v>90</v>
      </c>
      <c r="I400" s="8" t="s">
        <v>90</v>
      </c>
      <c r="J400" s="8" t="s">
        <v>279</v>
      </c>
      <c r="K400" s="8">
        <v>0</v>
      </c>
      <c r="L400" s="8">
        <v>8</v>
      </c>
      <c r="M400" s="8">
        <v>8</v>
      </c>
      <c r="N400" s="9">
        <v>60</v>
      </c>
      <c r="O400" s="9">
        <v>72</v>
      </c>
      <c r="P400" s="9">
        <v>72</v>
      </c>
      <c r="Q400" s="9">
        <v>80</v>
      </c>
      <c r="R400" s="9">
        <v>72</v>
      </c>
      <c r="S400" s="9"/>
      <c r="T400" s="8"/>
      <c r="U400" s="8" t="s">
        <v>271</v>
      </c>
      <c r="V400" s="8" t="s">
        <v>272</v>
      </c>
      <c r="W400" s="10">
        <v>130</v>
      </c>
      <c r="X400" s="11" t="s">
        <v>1402</v>
      </c>
      <c r="Y400" s="11" t="s">
        <v>1403</v>
      </c>
      <c r="Z400" s="11" t="s">
        <v>1404</v>
      </c>
    </row>
    <row r="401" ht="68" customHeight="1" spans="1:26">
      <c r="A401" s="8" t="s">
        <v>88</v>
      </c>
      <c r="B401" s="8" t="s">
        <v>51</v>
      </c>
      <c r="C401" s="8" t="s">
        <v>1405</v>
      </c>
      <c r="D401" s="8" t="s">
        <v>267</v>
      </c>
      <c r="E401" s="8" t="s">
        <v>268</v>
      </c>
      <c r="F401" s="8" t="s">
        <v>269</v>
      </c>
      <c r="G401" s="8" t="s">
        <v>90</v>
      </c>
      <c r="H401" s="8" t="s">
        <v>90</v>
      </c>
      <c r="I401" s="8" t="s">
        <v>90</v>
      </c>
      <c r="J401" s="8" t="s">
        <v>347</v>
      </c>
      <c r="K401" s="8">
        <v>8</v>
      </c>
      <c r="L401" s="8">
        <v>4</v>
      </c>
      <c r="M401" s="8">
        <v>12</v>
      </c>
      <c r="N401" s="9">
        <v>8</v>
      </c>
      <c r="O401" s="9">
        <v>8</v>
      </c>
      <c r="P401" s="9">
        <v>0</v>
      </c>
      <c r="Q401" s="9">
        <v>24</v>
      </c>
      <c r="R401" s="9">
        <v>40</v>
      </c>
      <c r="S401" s="9"/>
      <c r="T401" s="8"/>
      <c r="U401" s="8" t="s">
        <v>280</v>
      </c>
      <c r="V401" s="8" t="s">
        <v>272</v>
      </c>
      <c r="W401" s="10">
        <v>130</v>
      </c>
      <c r="X401" s="11" t="s">
        <v>1406</v>
      </c>
      <c r="Y401" s="11" t="s">
        <v>1407</v>
      </c>
      <c r="Z401" s="11" t="s">
        <v>1408</v>
      </c>
    </row>
    <row r="402" ht="68" customHeight="1" spans="1:26">
      <c r="A402" s="8" t="s">
        <v>88</v>
      </c>
      <c r="B402" s="8" t="s">
        <v>51</v>
      </c>
      <c r="C402" s="8" t="s">
        <v>1409</v>
      </c>
      <c r="D402" s="8" t="s">
        <v>267</v>
      </c>
      <c r="E402" s="8" t="s">
        <v>384</v>
      </c>
      <c r="F402" s="8" t="s">
        <v>278</v>
      </c>
      <c r="G402" s="8" t="s">
        <v>90</v>
      </c>
      <c r="H402" s="8" t="s">
        <v>90</v>
      </c>
      <c r="I402" s="8" t="s">
        <v>73</v>
      </c>
      <c r="J402" s="8" t="s">
        <v>279</v>
      </c>
      <c r="K402" s="8">
        <v>0</v>
      </c>
      <c r="L402" s="8">
        <v>8</v>
      </c>
      <c r="M402" s="8">
        <v>8</v>
      </c>
      <c r="N402" s="9">
        <v>8</v>
      </c>
      <c r="O402" s="9">
        <v>8</v>
      </c>
      <c r="P402" s="9">
        <v>4</v>
      </c>
      <c r="Q402" s="9">
        <v>32</v>
      </c>
      <c r="R402" s="9">
        <v>24</v>
      </c>
      <c r="S402" s="9"/>
      <c r="T402" s="8"/>
      <c r="U402" s="8" t="s">
        <v>288</v>
      </c>
      <c r="V402" s="8" t="s">
        <v>280</v>
      </c>
      <c r="W402" s="10">
        <v>72</v>
      </c>
      <c r="X402" s="11" t="s">
        <v>1410</v>
      </c>
      <c r="Y402" s="11" t="s">
        <v>1411</v>
      </c>
      <c r="Z402" s="11" t="s">
        <v>1404</v>
      </c>
    </row>
    <row r="403" ht="68" customHeight="1" spans="1:26">
      <c r="A403" s="8" t="s">
        <v>88</v>
      </c>
      <c r="B403" s="8" t="s">
        <v>51</v>
      </c>
      <c r="C403" s="8" t="s">
        <v>1412</v>
      </c>
      <c r="D403" s="8" t="s">
        <v>267</v>
      </c>
      <c r="E403" s="8" t="s">
        <v>268</v>
      </c>
      <c r="F403" s="8" t="s">
        <v>269</v>
      </c>
      <c r="G403" s="8" t="s">
        <v>90</v>
      </c>
      <c r="H403" s="8" t="s">
        <v>73</v>
      </c>
      <c r="I403" s="8" t="s">
        <v>90</v>
      </c>
      <c r="J403" s="8" t="s">
        <v>347</v>
      </c>
      <c r="K403" s="8">
        <v>4</v>
      </c>
      <c r="L403" s="8">
        <v>8</v>
      </c>
      <c r="M403" s="8">
        <v>12</v>
      </c>
      <c r="N403" s="9">
        <v>12</v>
      </c>
      <c r="O403" s="9">
        <v>32</v>
      </c>
      <c r="P403" s="9">
        <v>16</v>
      </c>
      <c r="Q403" s="9">
        <v>12</v>
      </c>
      <c r="R403" s="9">
        <v>4</v>
      </c>
      <c r="S403" s="9"/>
      <c r="T403" s="8"/>
      <c r="U403" s="8" t="s">
        <v>288</v>
      </c>
      <c r="V403" s="8" t="s">
        <v>288</v>
      </c>
      <c r="W403" s="10">
        <v>30</v>
      </c>
      <c r="X403" s="11" t="s">
        <v>1413</v>
      </c>
      <c r="Y403" s="11" t="s">
        <v>1414</v>
      </c>
      <c r="Z403" s="11" t="s">
        <v>1404</v>
      </c>
    </row>
    <row r="404" ht="68" customHeight="1" spans="1:26">
      <c r="A404" s="8" t="s">
        <v>88</v>
      </c>
      <c r="B404" s="8" t="s">
        <v>51</v>
      </c>
      <c r="C404" s="8" t="s">
        <v>1415</v>
      </c>
      <c r="D404" s="8" t="s">
        <v>267</v>
      </c>
      <c r="E404" s="8" t="s">
        <v>277</v>
      </c>
      <c r="F404" s="8" t="s">
        <v>278</v>
      </c>
      <c r="G404" s="8" t="s">
        <v>90</v>
      </c>
      <c r="H404" s="8" t="s">
        <v>73</v>
      </c>
      <c r="I404" s="8" t="s">
        <v>73</v>
      </c>
      <c r="J404" s="8" t="s">
        <v>279</v>
      </c>
      <c r="K404" s="8">
        <v>0</v>
      </c>
      <c r="L404" s="8">
        <v>8</v>
      </c>
      <c r="M404" s="8">
        <v>8</v>
      </c>
      <c r="N404" s="9">
        <v>8</v>
      </c>
      <c r="O404" s="9">
        <v>16</v>
      </c>
      <c r="P404" s="9">
        <v>0</v>
      </c>
      <c r="Q404" s="9">
        <v>4</v>
      </c>
      <c r="R404" s="9">
        <v>4</v>
      </c>
      <c r="S404" s="9"/>
      <c r="T404" s="8"/>
      <c r="U404" s="8" t="s">
        <v>288</v>
      </c>
      <c r="V404" s="8" t="s">
        <v>280</v>
      </c>
      <c r="W404" s="10">
        <v>30</v>
      </c>
      <c r="X404" s="11" t="s">
        <v>1416</v>
      </c>
      <c r="Y404" s="11" t="s">
        <v>1417</v>
      </c>
      <c r="Z404" s="11" t="s">
        <v>1418</v>
      </c>
    </row>
    <row r="405" ht="68" customHeight="1" spans="1:26">
      <c r="A405" s="8" t="s">
        <v>88</v>
      </c>
      <c r="B405" s="8" t="s">
        <v>51</v>
      </c>
      <c r="C405" s="8" t="s">
        <v>1419</v>
      </c>
      <c r="D405" s="8" t="s">
        <v>267</v>
      </c>
      <c r="E405" s="8" t="s">
        <v>277</v>
      </c>
      <c r="F405" s="8" t="s">
        <v>278</v>
      </c>
      <c r="G405" s="8" t="s">
        <v>73</v>
      </c>
      <c r="H405" s="8" t="s">
        <v>73</v>
      </c>
      <c r="I405" s="8" t="s">
        <v>73</v>
      </c>
      <c r="J405" s="8" t="s">
        <v>279</v>
      </c>
      <c r="K405" s="8">
        <v>0</v>
      </c>
      <c r="L405" s="8">
        <v>2</v>
      </c>
      <c r="M405" s="8">
        <v>2</v>
      </c>
      <c r="N405" s="9">
        <v>0</v>
      </c>
      <c r="O405" s="9">
        <v>0</v>
      </c>
      <c r="P405" s="9">
        <v>0</v>
      </c>
      <c r="Q405" s="9">
        <v>0</v>
      </c>
      <c r="R405" s="9">
        <v>4</v>
      </c>
      <c r="S405" s="9"/>
      <c r="T405" s="8"/>
      <c r="U405" s="8" t="s">
        <v>288</v>
      </c>
      <c r="V405" s="8" t="s">
        <v>288</v>
      </c>
      <c r="W405" s="10">
        <v>4</v>
      </c>
      <c r="X405" s="11" t="s">
        <v>1402</v>
      </c>
      <c r="Y405" s="11" t="s">
        <v>1420</v>
      </c>
      <c r="Z405" s="11" t="s">
        <v>1418</v>
      </c>
    </row>
    <row r="406" ht="68" customHeight="1" spans="1:26">
      <c r="A406" s="8" t="s">
        <v>88</v>
      </c>
      <c r="B406" s="8" t="s">
        <v>51</v>
      </c>
      <c r="C406" s="8" t="s">
        <v>1421</v>
      </c>
      <c r="D406" s="8" t="s">
        <v>267</v>
      </c>
      <c r="E406" s="8" t="s">
        <v>384</v>
      </c>
      <c r="F406" s="8" t="s">
        <v>278</v>
      </c>
      <c r="G406" s="8" t="s">
        <v>90</v>
      </c>
      <c r="H406" s="8" t="s">
        <v>73</v>
      </c>
      <c r="I406" s="8" t="s">
        <v>73</v>
      </c>
      <c r="J406" s="8" t="s">
        <v>279</v>
      </c>
      <c r="K406" s="8">
        <v>0</v>
      </c>
      <c r="L406" s="8">
        <v>8</v>
      </c>
      <c r="M406" s="8">
        <v>8</v>
      </c>
      <c r="N406" s="9">
        <v>20</v>
      </c>
      <c r="O406" s="9">
        <v>4</v>
      </c>
      <c r="P406" s="9">
        <v>4</v>
      </c>
      <c r="Q406" s="9">
        <v>4</v>
      </c>
      <c r="R406" s="9">
        <v>0</v>
      </c>
      <c r="S406" s="9"/>
      <c r="T406" s="8"/>
      <c r="U406" s="8" t="s">
        <v>301</v>
      </c>
      <c r="V406" s="8" t="s">
        <v>288</v>
      </c>
      <c r="W406" s="10">
        <v>12</v>
      </c>
      <c r="X406" s="11" t="s">
        <v>1422</v>
      </c>
      <c r="Y406" s="11" t="s">
        <v>1423</v>
      </c>
      <c r="Z406" s="11" t="s">
        <v>1418</v>
      </c>
    </row>
    <row r="407" ht="90" customHeight="1" spans="1:26">
      <c r="A407" s="8" t="s">
        <v>88</v>
      </c>
      <c r="B407" s="8" t="s">
        <v>51</v>
      </c>
      <c r="C407" s="8" t="s">
        <v>1424</v>
      </c>
      <c r="D407" s="8" t="s">
        <v>285</v>
      </c>
      <c r="E407" s="8" t="s">
        <v>286</v>
      </c>
      <c r="F407" s="8" t="s">
        <v>287</v>
      </c>
      <c r="G407" s="8" t="s">
        <v>90</v>
      </c>
      <c r="H407" s="8" t="s">
        <v>90</v>
      </c>
      <c r="I407" s="8" t="s">
        <v>90</v>
      </c>
      <c r="J407" s="8" t="s">
        <v>279</v>
      </c>
      <c r="K407" s="8">
        <v>0</v>
      </c>
      <c r="L407" s="8">
        <v>12</v>
      </c>
      <c r="M407" s="8">
        <v>12</v>
      </c>
      <c r="N407" s="9">
        <v>0</v>
      </c>
      <c r="O407" s="9">
        <v>0</v>
      </c>
      <c r="P407" s="9">
        <v>4</v>
      </c>
      <c r="Q407" s="9">
        <v>0</v>
      </c>
      <c r="R407" s="9">
        <v>0</v>
      </c>
      <c r="S407" s="9"/>
      <c r="T407" s="8"/>
      <c r="U407" s="8" t="s">
        <v>301</v>
      </c>
      <c r="V407" s="8" t="s">
        <v>280</v>
      </c>
      <c r="W407" s="10">
        <v>30</v>
      </c>
      <c r="X407" s="11"/>
      <c r="Y407" s="11"/>
      <c r="Z407" s="11"/>
    </row>
    <row r="408" ht="43.5" customHeight="1" spans="1:26">
      <c r="A408" s="8" t="s">
        <v>88</v>
      </c>
      <c r="B408" s="8" t="s">
        <v>51</v>
      </c>
      <c r="C408" s="8" t="s">
        <v>1425</v>
      </c>
      <c r="D408" s="8" t="s">
        <v>285</v>
      </c>
      <c r="E408" s="8" t="s">
        <v>286</v>
      </c>
      <c r="F408" s="8" t="s">
        <v>287</v>
      </c>
      <c r="G408" s="8" t="s">
        <v>90</v>
      </c>
      <c r="H408" s="8" t="s">
        <v>73</v>
      </c>
      <c r="I408" s="8" t="s">
        <v>90</v>
      </c>
      <c r="J408" s="8" t="s">
        <v>279</v>
      </c>
      <c r="K408" s="8">
        <v>0</v>
      </c>
      <c r="L408" s="8">
        <v>12</v>
      </c>
      <c r="M408" s="8">
        <v>12</v>
      </c>
      <c r="N408" s="9">
        <v>0</v>
      </c>
      <c r="O408" s="9">
        <v>0</v>
      </c>
      <c r="P408" s="9">
        <v>0</v>
      </c>
      <c r="Q408" s="9">
        <v>0</v>
      </c>
      <c r="R408" s="9">
        <v>0</v>
      </c>
      <c r="S408" s="9"/>
      <c r="T408" s="8"/>
      <c r="U408" s="8" t="s">
        <v>301</v>
      </c>
      <c r="V408" s="8" t="s">
        <v>288</v>
      </c>
      <c r="W408" s="10">
        <v>12</v>
      </c>
      <c r="X408" s="11" t="s">
        <v>1426</v>
      </c>
      <c r="Y408" s="11" t="s">
        <v>1427</v>
      </c>
      <c r="Z408" s="11" t="s">
        <v>1418</v>
      </c>
    </row>
    <row r="409" ht="43.5" customHeight="1" spans="1:26">
      <c r="A409" s="8" t="s">
        <v>88</v>
      </c>
      <c r="B409" s="8" t="s">
        <v>51</v>
      </c>
      <c r="C409" s="8" t="s">
        <v>1428</v>
      </c>
      <c r="D409" s="8" t="s">
        <v>267</v>
      </c>
      <c r="E409" s="8" t="s">
        <v>277</v>
      </c>
      <c r="F409" s="8" t="s">
        <v>278</v>
      </c>
      <c r="G409" s="8" t="s">
        <v>90</v>
      </c>
      <c r="H409" s="8" t="s">
        <v>73</v>
      </c>
      <c r="I409" s="8" t="s">
        <v>73</v>
      </c>
      <c r="J409" s="8" t="s">
        <v>279</v>
      </c>
      <c r="K409" s="8">
        <v>0</v>
      </c>
      <c r="L409" s="8">
        <v>2</v>
      </c>
      <c r="M409" s="8">
        <v>2</v>
      </c>
      <c r="N409" s="9">
        <v>8</v>
      </c>
      <c r="O409" s="9">
        <v>8</v>
      </c>
      <c r="P409" s="9">
        <v>0</v>
      </c>
      <c r="Q409" s="9">
        <v>0</v>
      </c>
      <c r="R409" s="9">
        <v>0</v>
      </c>
      <c r="S409" s="9"/>
      <c r="T409" s="8"/>
      <c r="U409" s="8" t="s">
        <v>301</v>
      </c>
      <c r="V409" s="8" t="s">
        <v>288</v>
      </c>
      <c r="W409" s="10">
        <v>12</v>
      </c>
      <c r="X409" s="11" t="s">
        <v>1429</v>
      </c>
      <c r="Y409" s="11" t="s">
        <v>1430</v>
      </c>
      <c r="Z409" s="11" t="s">
        <v>1418</v>
      </c>
    </row>
    <row r="410" ht="43.5" customHeight="1" spans="1:26">
      <c r="A410" s="8" t="s">
        <v>88</v>
      </c>
      <c r="B410" s="8" t="s">
        <v>51</v>
      </c>
      <c r="C410" s="8" t="s">
        <v>1431</v>
      </c>
      <c r="D410" s="8" t="s">
        <v>267</v>
      </c>
      <c r="E410" s="8" t="s">
        <v>277</v>
      </c>
      <c r="F410" s="8" t="s">
        <v>278</v>
      </c>
      <c r="G410" s="8" t="s">
        <v>90</v>
      </c>
      <c r="H410" s="8" t="s">
        <v>73</v>
      </c>
      <c r="I410" s="8" t="s">
        <v>73</v>
      </c>
      <c r="J410" s="8" t="s">
        <v>279</v>
      </c>
      <c r="K410" s="8">
        <v>0</v>
      </c>
      <c r="L410" s="8">
        <v>8</v>
      </c>
      <c r="M410" s="8">
        <v>8</v>
      </c>
      <c r="N410" s="9">
        <v>0</v>
      </c>
      <c r="O410" s="9">
        <v>0</v>
      </c>
      <c r="P410" s="9">
        <v>0</v>
      </c>
      <c r="Q410" s="9">
        <v>0</v>
      </c>
      <c r="R410" s="9">
        <v>0</v>
      </c>
      <c r="S410" s="9"/>
      <c r="T410" s="8"/>
      <c r="U410" s="8" t="s">
        <v>301</v>
      </c>
      <c r="V410" s="8" t="s">
        <v>288</v>
      </c>
      <c r="W410" s="10">
        <v>12</v>
      </c>
      <c r="X410" s="11" t="s">
        <v>1432</v>
      </c>
      <c r="Y410" s="11" t="s">
        <v>1420</v>
      </c>
      <c r="Z410" s="11" t="s">
        <v>1418</v>
      </c>
    </row>
    <row r="411" ht="29" customHeight="1" spans="1:26">
      <c r="A411" s="8" t="s">
        <v>88</v>
      </c>
      <c r="B411" s="8" t="s">
        <v>51</v>
      </c>
      <c r="C411" s="8" t="s">
        <v>1433</v>
      </c>
      <c r="D411" s="8" t="s">
        <v>267</v>
      </c>
      <c r="E411" s="8" t="s">
        <v>277</v>
      </c>
      <c r="F411" s="8" t="s">
        <v>278</v>
      </c>
      <c r="G411" s="8" t="s">
        <v>90</v>
      </c>
      <c r="H411" s="8" t="s">
        <v>73</v>
      </c>
      <c r="I411" s="8" t="s">
        <v>73</v>
      </c>
      <c r="J411" s="8" t="s">
        <v>279</v>
      </c>
      <c r="K411" s="8">
        <v>0</v>
      </c>
      <c r="L411" s="8">
        <v>4</v>
      </c>
      <c r="M411" s="8">
        <v>4</v>
      </c>
      <c r="N411" s="9">
        <v>4</v>
      </c>
      <c r="O411" s="9">
        <v>4</v>
      </c>
      <c r="P411" s="9">
        <v>0</v>
      </c>
      <c r="Q411" s="9">
        <v>4</v>
      </c>
      <c r="R411" s="9">
        <v>0</v>
      </c>
      <c r="S411" s="9"/>
      <c r="T411" s="8"/>
      <c r="U411" s="8" t="s">
        <v>301</v>
      </c>
      <c r="V411" s="8" t="s">
        <v>288</v>
      </c>
      <c r="W411" s="10">
        <v>12</v>
      </c>
      <c r="X411" s="11" t="s">
        <v>1434</v>
      </c>
      <c r="Y411" s="11" t="s">
        <v>1435</v>
      </c>
      <c r="Z411" s="11" t="s">
        <v>1418</v>
      </c>
    </row>
    <row r="412" ht="14.5" customHeight="1" spans="1:26">
      <c r="A412" s="8" t="s">
        <v>88</v>
      </c>
      <c r="B412" s="8" t="s">
        <v>51</v>
      </c>
      <c r="C412" s="8" t="s">
        <v>1436</v>
      </c>
      <c r="D412" s="8" t="s">
        <v>267</v>
      </c>
      <c r="E412" s="8" t="s">
        <v>277</v>
      </c>
      <c r="F412" s="8" t="s">
        <v>278</v>
      </c>
      <c r="G412" s="8" t="s">
        <v>90</v>
      </c>
      <c r="H412" s="8" t="s">
        <v>73</v>
      </c>
      <c r="I412" s="8" t="s">
        <v>73</v>
      </c>
      <c r="J412" s="8" t="s">
        <v>279</v>
      </c>
      <c r="K412" s="8">
        <v>0</v>
      </c>
      <c r="L412" s="8">
        <v>8</v>
      </c>
      <c r="M412" s="8">
        <v>8</v>
      </c>
      <c r="N412" s="9">
        <v>4</v>
      </c>
      <c r="O412" s="9">
        <v>8</v>
      </c>
      <c r="P412" s="9">
        <v>0</v>
      </c>
      <c r="Q412" s="9">
        <v>4</v>
      </c>
      <c r="R412" s="9">
        <v>0</v>
      </c>
      <c r="S412" s="9"/>
      <c r="T412" s="8"/>
      <c r="U412" s="8" t="s">
        <v>301</v>
      </c>
      <c r="V412" s="8" t="s">
        <v>288</v>
      </c>
      <c r="W412" s="10">
        <v>30</v>
      </c>
      <c r="X412" s="11" t="s">
        <v>1437</v>
      </c>
      <c r="Y412" s="11" t="s">
        <v>1438</v>
      </c>
      <c r="Z412" s="11" t="s">
        <v>1418</v>
      </c>
    </row>
    <row r="413" ht="43.5" customHeight="1" spans="1:26">
      <c r="A413" s="8" t="s">
        <v>88</v>
      </c>
      <c r="B413" s="8" t="s">
        <v>51</v>
      </c>
      <c r="C413" s="8" t="s">
        <v>1439</v>
      </c>
      <c r="D413" s="8" t="s">
        <v>267</v>
      </c>
      <c r="E413" s="8" t="s">
        <v>286</v>
      </c>
      <c r="F413" s="8" t="s">
        <v>287</v>
      </c>
      <c r="G413" s="8" t="s">
        <v>73</v>
      </c>
      <c r="H413" s="8" t="s">
        <v>73</v>
      </c>
      <c r="I413" s="8" t="s">
        <v>90</v>
      </c>
      <c r="J413" s="8" t="s">
        <v>293</v>
      </c>
      <c r="K413" s="8">
        <v>4</v>
      </c>
      <c r="L413" s="8">
        <v>4</v>
      </c>
      <c r="M413" s="8">
        <v>8</v>
      </c>
      <c r="N413" s="9">
        <v>0</v>
      </c>
      <c r="O413" s="9">
        <v>0</v>
      </c>
      <c r="P413" s="9">
        <v>0</v>
      </c>
      <c r="Q413" s="9">
        <v>0</v>
      </c>
      <c r="R413" s="9">
        <v>0</v>
      </c>
      <c r="S413" s="9"/>
      <c r="T413" s="8"/>
      <c r="U413" s="8" t="s">
        <v>301</v>
      </c>
      <c r="V413" s="8" t="s">
        <v>288</v>
      </c>
      <c r="W413" s="10">
        <v>30</v>
      </c>
      <c r="X413" s="11" t="s">
        <v>1440</v>
      </c>
      <c r="Y413" s="11" t="s">
        <v>1441</v>
      </c>
      <c r="Z413" s="11" t="s">
        <v>1418</v>
      </c>
    </row>
    <row r="414" ht="43.5" customHeight="1" spans="1:26">
      <c r="A414" s="8" t="s">
        <v>88</v>
      </c>
      <c r="B414" s="8" t="s">
        <v>51</v>
      </c>
      <c r="C414" s="8" t="s">
        <v>1442</v>
      </c>
      <c r="D414" s="8" t="s">
        <v>267</v>
      </c>
      <c r="E414" s="8" t="s">
        <v>277</v>
      </c>
      <c r="F414" s="8" t="s">
        <v>278</v>
      </c>
      <c r="G414" s="8" t="s">
        <v>90</v>
      </c>
      <c r="H414" s="8" t="s">
        <v>73</v>
      </c>
      <c r="I414" s="8" t="s">
        <v>73</v>
      </c>
      <c r="J414" s="8" t="s">
        <v>279</v>
      </c>
      <c r="K414" s="8">
        <v>0</v>
      </c>
      <c r="L414" s="8">
        <v>8</v>
      </c>
      <c r="M414" s="8">
        <v>8</v>
      </c>
      <c r="N414" s="9">
        <v>0</v>
      </c>
      <c r="O414" s="9">
        <v>0</v>
      </c>
      <c r="P414" s="9">
        <v>0</v>
      </c>
      <c r="Q414" s="9">
        <v>0</v>
      </c>
      <c r="R414" s="9">
        <v>0</v>
      </c>
      <c r="S414" s="9"/>
      <c r="T414" s="8"/>
      <c r="U414" s="8" t="s">
        <v>301</v>
      </c>
      <c r="V414" s="8" t="s">
        <v>288</v>
      </c>
      <c r="W414" s="10">
        <v>12</v>
      </c>
      <c r="X414" s="11" t="s">
        <v>1443</v>
      </c>
      <c r="Y414" s="11" t="s">
        <v>1444</v>
      </c>
      <c r="Z414" s="11" t="s">
        <v>1418</v>
      </c>
    </row>
    <row r="415" ht="29" customHeight="1" spans="1:26">
      <c r="A415" s="8" t="s">
        <v>88</v>
      </c>
      <c r="B415" s="8" t="s">
        <v>51</v>
      </c>
      <c r="C415" s="8" t="s">
        <v>1445</v>
      </c>
      <c r="D415" s="8" t="s">
        <v>267</v>
      </c>
      <c r="E415" s="8" t="s">
        <v>277</v>
      </c>
      <c r="F415" s="8" t="s">
        <v>278</v>
      </c>
      <c r="G415" s="8" t="s">
        <v>90</v>
      </c>
      <c r="H415" s="8" t="s">
        <v>73</v>
      </c>
      <c r="I415" s="8" t="s">
        <v>73</v>
      </c>
      <c r="J415" s="8" t="s">
        <v>279</v>
      </c>
      <c r="K415" s="8">
        <v>0</v>
      </c>
      <c r="L415" s="8">
        <v>2</v>
      </c>
      <c r="M415" s="8">
        <v>2</v>
      </c>
      <c r="N415" s="9">
        <v>0</v>
      </c>
      <c r="O415" s="9">
        <v>0</v>
      </c>
      <c r="P415" s="9">
        <v>8</v>
      </c>
      <c r="Q415" s="9">
        <v>0</v>
      </c>
      <c r="R415" s="9">
        <v>0</v>
      </c>
      <c r="S415" s="9"/>
      <c r="T415" s="8"/>
      <c r="U415" s="8" t="s">
        <v>301</v>
      </c>
      <c r="V415" s="8" t="s">
        <v>288</v>
      </c>
      <c r="W415" s="10">
        <v>12</v>
      </c>
      <c r="X415" s="11" t="s">
        <v>1426</v>
      </c>
      <c r="Y415" s="11" t="s">
        <v>1446</v>
      </c>
      <c r="Z415" s="11" t="s">
        <v>1418</v>
      </c>
    </row>
    <row r="416" ht="29" customHeight="1" spans="1:26">
      <c r="A416" s="8" t="s">
        <v>88</v>
      </c>
      <c r="B416" s="8" t="s">
        <v>51</v>
      </c>
      <c r="C416" s="8" t="s">
        <v>1447</v>
      </c>
      <c r="D416" s="8" t="s">
        <v>267</v>
      </c>
      <c r="E416" s="8" t="s">
        <v>277</v>
      </c>
      <c r="F416" s="8" t="s">
        <v>278</v>
      </c>
      <c r="G416" s="8" t="s">
        <v>90</v>
      </c>
      <c r="H416" s="8" t="s">
        <v>73</v>
      </c>
      <c r="I416" s="8" t="s">
        <v>73</v>
      </c>
      <c r="J416" s="8" t="s">
        <v>279</v>
      </c>
      <c r="K416" s="8">
        <v>0</v>
      </c>
      <c r="L416" s="8">
        <v>4</v>
      </c>
      <c r="M416" s="8">
        <v>4</v>
      </c>
      <c r="N416" s="9">
        <v>0</v>
      </c>
      <c r="O416" s="9">
        <v>0</v>
      </c>
      <c r="P416" s="9">
        <v>4</v>
      </c>
      <c r="Q416" s="9">
        <v>0</v>
      </c>
      <c r="R416" s="9">
        <v>0</v>
      </c>
      <c r="S416" s="9"/>
      <c r="T416" s="8"/>
      <c r="U416" s="8" t="s">
        <v>301</v>
      </c>
      <c r="V416" s="8" t="s">
        <v>288</v>
      </c>
      <c r="W416" s="10">
        <v>12</v>
      </c>
      <c r="X416" s="11" t="s">
        <v>1448</v>
      </c>
      <c r="Y416" s="11" t="s">
        <v>1449</v>
      </c>
      <c r="Z416" s="11" t="s">
        <v>1418</v>
      </c>
    </row>
    <row r="417" ht="29" customHeight="1" spans="1:26">
      <c r="A417" s="8" t="s">
        <v>88</v>
      </c>
      <c r="B417" s="8" t="s">
        <v>51</v>
      </c>
      <c r="C417" s="8" t="s">
        <v>1450</v>
      </c>
      <c r="D417" s="8" t="s">
        <v>267</v>
      </c>
      <c r="E417" s="8" t="s">
        <v>277</v>
      </c>
      <c r="F417" s="8" t="s">
        <v>278</v>
      </c>
      <c r="G417" s="8" t="s">
        <v>90</v>
      </c>
      <c r="H417" s="8" t="s">
        <v>73</v>
      </c>
      <c r="I417" s="8" t="s">
        <v>73</v>
      </c>
      <c r="J417" s="8" t="s">
        <v>279</v>
      </c>
      <c r="K417" s="8">
        <v>0</v>
      </c>
      <c r="L417" s="8">
        <v>2</v>
      </c>
      <c r="M417" s="8">
        <v>2</v>
      </c>
      <c r="N417" s="9">
        <v>12</v>
      </c>
      <c r="O417" s="9">
        <v>0</v>
      </c>
      <c r="P417" s="9">
        <v>0</v>
      </c>
      <c r="Q417" s="9">
        <v>0</v>
      </c>
      <c r="R417" s="9">
        <v>0</v>
      </c>
      <c r="S417" s="9"/>
      <c r="T417" s="8"/>
      <c r="U417" s="8" t="s">
        <v>301</v>
      </c>
      <c r="V417" s="8" t="s">
        <v>288</v>
      </c>
      <c r="W417" s="10">
        <v>4</v>
      </c>
      <c r="X417" s="11" t="s">
        <v>1426</v>
      </c>
      <c r="Y417" s="11" t="s">
        <v>1451</v>
      </c>
      <c r="Z417" s="11" t="s">
        <v>1418</v>
      </c>
    </row>
    <row r="418" ht="29" customHeight="1" spans="1:26">
      <c r="A418" s="8" t="s">
        <v>88</v>
      </c>
      <c r="B418" s="8" t="s">
        <v>51</v>
      </c>
      <c r="C418" s="8" t="s">
        <v>1452</v>
      </c>
      <c r="D418" s="8" t="s">
        <v>267</v>
      </c>
      <c r="E418" s="8" t="s">
        <v>277</v>
      </c>
      <c r="F418" s="8" t="s">
        <v>278</v>
      </c>
      <c r="G418" s="8" t="s">
        <v>73</v>
      </c>
      <c r="H418" s="8" t="s">
        <v>73</v>
      </c>
      <c r="I418" s="8" t="s">
        <v>73</v>
      </c>
      <c r="J418" s="8" t="s">
        <v>279</v>
      </c>
      <c r="K418" s="8">
        <v>0</v>
      </c>
      <c r="L418" s="8">
        <v>2</v>
      </c>
      <c r="M418" s="8">
        <v>2</v>
      </c>
      <c r="N418" s="9">
        <v>4</v>
      </c>
      <c r="O418" s="9">
        <v>4</v>
      </c>
      <c r="P418" s="9">
        <v>0</v>
      </c>
      <c r="Q418" s="9">
        <v>0</v>
      </c>
      <c r="R418" s="9">
        <v>0</v>
      </c>
      <c r="S418" s="9"/>
      <c r="T418" s="8"/>
      <c r="U418" s="8" t="s">
        <v>301</v>
      </c>
      <c r="V418" s="8" t="s">
        <v>288</v>
      </c>
      <c r="W418" s="10">
        <v>4</v>
      </c>
      <c r="X418" s="11" t="s">
        <v>1448</v>
      </c>
      <c r="Y418" s="11" t="s">
        <v>1453</v>
      </c>
      <c r="Z418" s="11" t="s">
        <v>1418</v>
      </c>
    </row>
    <row r="419" ht="29" customHeight="1" spans="1:26">
      <c r="A419" s="8" t="s">
        <v>88</v>
      </c>
      <c r="B419" s="8" t="s">
        <v>51</v>
      </c>
      <c r="C419" s="8" t="s">
        <v>1454</v>
      </c>
      <c r="D419" s="8" t="s">
        <v>267</v>
      </c>
      <c r="E419" s="8" t="s">
        <v>277</v>
      </c>
      <c r="F419" s="8" t="s">
        <v>278</v>
      </c>
      <c r="G419" s="8" t="s">
        <v>73</v>
      </c>
      <c r="H419" s="8" t="s">
        <v>73</v>
      </c>
      <c r="I419" s="8" t="s">
        <v>73</v>
      </c>
      <c r="J419" s="8" t="s">
        <v>279</v>
      </c>
      <c r="K419" s="8">
        <v>0</v>
      </c>
      <c r="L419" s="8">
        <v>2</v>
      </c>
      <c r="M419" s="8">
        <v>2</v>
      </c>
      <c r="N419" s="9">
        <v>0</v>
      </c>
      <c r="O419" s="9">
        <v>4</v>
      </c>
      <c r="P419" s="9">
        <v>0</v>
      </c>
      <c r="Q419" s="9">
        <v>0</v>
      </c>
      <c r="R419" s="9">
        <v>0</v>
      </c>
      <c r="S419" s="9"/>
      <c r="T419" s="8"/>
      <c r="U419" s="8" t="s">
        <v>301</v>
      </c>
      <c r="V419" s="8" t="s">
        <v>288</v>
      </c>
      <c r="W419" s="10">
        <v>4</v>
      </c>
      <c r="X419" s="11" t="s">
        <v>1455</v>
      </c>
      <c r="Y419" s="11" t="s">
        <v>1453</v>
      </c>
      <c r="Z419" s="11" t="s">
        <v>1418</v>
      </c>
    </row>
    <row r="420" ht="14.5" customHeight="1" spans="1:26">
      <c r="A420" s="8" t="s">
        <v>88</v>
      </c>
      <c r="B420" s="8" t="s">
        <v>51</v>
      </c>
      <c r="C420" s="8" t="s">
        <v>1456</v>
      </c>
      <c r="D420" s="8" t="s">
        <v>267</v>
      </c>
      <c r="E420" s="8" t="s">
        <v>277</v>
      </c>
      <c r="F420" s="8" t="s">
        <v>278</v>
      </c>
      <c r="G420" s="8" t="s">
        <v>73</v>
      </c>
      <c r="H420" s="8" t="s">
        <v>73</v>
      </c>
      <c r="I420" s="8" t="s">
        <v>73</v>
      </c>
      <c r="J420" s="8" t="s">
        <v>279</v>
      </c>
      <c r="K420" s="8">
        <v>0</v>
      </c>
      <c r="L420" s="8">
        <v>3</v>
      </c>
      <c r="M420" s="8">
        <v>3</v>
      </c>
      <c r="N420" s="9">
        <v>0</v>
      </c>
      <c r="O420" s="9">
        <v>4</v>
      </c>
      <c r="P420" s="9">
        <v>0</v>
      </c>
      <c r="Q420" s="9">
        <v>0</v>
      </c>
      <c r="R420" s="9">
        <v>0</v>
      </c>
      <c r="S420" s="9"/>
      <c r="T420" s="8"/>
      <c r="U420" s="8" t="s">
        <v>301</v>
      </c>
      <c r="V420" s="8" t="s">
        <v>288</v>
      </c>
      <c r="W420" s="10">
        <v>4</v>
      </c>
      <c r="X420" s="11" t="s">
        <v>1448</v>
      </c>
      <c r="Y420" s="11" t="s">
        <v>1449</v>
      </c>
      <c r="Z420" s="11" t="s">
        <v>1418</v>
      </c>
    </row>
    <row r="421" ht="29" customHeight="1" spans="1:26">
      <c r="A421" s="8" t="s">
        <v>88</v>
      </c>
      <c r="B421" s="8" t="s">
        <v>51</v>
      </c>
      <c r="C421" s="8" t="s">
        <v>1457</v>
      </c>
      <c r="D421" s="8" t="s">
        <v>267</v>
      </c>
      <c r="E421" s="8" t="s">
        <v>277</v>
      </c>
      <c r="F421" s="8" t="s">
        <v>278</v>
      </c>
      <c r="G421" s="8" t="s">
        <v>73</v>
      </c>
      <c r="H421" s="8" t="s">
        <v>73</v>
      </c>
      <c r="I421" s="8" t="s">
        <v>90</v>
      </c>
      <c r="J421" s="8" t="s">
        <v>279</v>
      </c>
      <c r="K421" s="8">
        <v>0</v>
      </c>
      <c r="L421" s="8">
        <v>8</v>
      </c>
      <c r="M421" s="8">
        <v>8</v>
      </c>
      <c r="N421" s="9">
        <v>0</v>
      </c>
      <c r="O421" s="9">
        <v>0</v>
      </c>
      <c r="P421" s="9">
        <v>0</v>
      </c>
      <c r="Q421" s="9">
        <v>0</v>
      </c>
      <c r="R421" s="9">
        <v>0</v>
      </c>
      <c r="S421" s="9"/>
      <c r="T421" s="8"/>
      <c r="U421" s="8" t="s">
        <v>301</v>
      </c>
      <c r="V421" s="8" t="s">
        <v>288</v>
      </c>
      <c r="W421" s="10">
        <v>12</v>
      </c>
      <c r="X421" s="11" t="s">
        <v>1448</v>
      </c>
      <c r="Y421" s="11" t="s">
        <v>1427</v>
      </c>
      <c r="Z421" s="11" t="s">
        <v>1418</v>
      </c>
    </row>
    <row r="422" ht="14.5" customHeight="1" spans="1:26">
      <c r="A422" s="8" t="s">
        <v>88</v>
      </c>
      <c r="B422" s="8" t="s">
        <v>51</v>
      </c>
      <c r="C422" s="8" t="s">
        <v>1458</v>
      </c>
      <c r="D422" s="8" t="s">
        <v>267</v>
      </c>
      <c r="E422" s="8" t="s">
        <v>277</v>
      </c>
      <c r="F422" s="8" t="s">
        <v>278</v>
      </c>
      <c r="G422" s="8" t="s">
        <v>90</v>
      </c>
      <c r="H422" s="8" t="s">
        <v>73</v>
      </c>
      <c r="I422" s="8" t="s">
        <v>73</v>
      </c>
      <c r="J422" s="8" t="s">
        <v>279</v>
      </c>
      <c r="K422" s="8">
        <v>0</v>
      </c>
      <c r="L422" s="8">
        <v>2</v>
      </c>
      <c r="M422" s="8">
        <v>2</v>
      </c>
      <c r="N422" s="9">
        <v>4</v>
      </c>
      <c r="O422" s="9">
        <v>0</v>
      </c>
      <c r="P422" s="9">
        <v>0</v>
      </c>
      <c r="Q422" s="9">
        <v>0</v>
      </c>
      <c r="R422" s="9">
        <v>0</v>
      </c>
      <c r="S422" s="9"/>
      <c r="T422" s="8"/>
      <c r="U422" s="8"/>
      <c r="V422" s="8" t="s">
        <v>288</v>
      </c>
      <c r="W422" s="10">
        <v>4</v>
      </c>
      <c r="X422" s="11" t="s">
        <v>1459</v>
      </c>
      <c r="Y422" s="11" t="s">
        <v>1460</v>
      </c>
      <c r="Z422" s="11" t="s">
        <v>1418</v>
      </c>
    </row>
    <row r="423" ht="29" customHeight="1" spans="1:26">
      <c r="A423" s="8" t="s">
        <v>88</v>
      </c>
      <c r="B423" s="8" t="s">
        <v>51</v>
      </c>
      <c r="C423" s="8" t="s">
        <v>1461</v>
      </c>
      <c r="D423" s="8" t="s">
        <v>285</v>
      </c>
      <c r="E423" s="8" t="s">
        <v>286</v>
      </c>
      <c r="F423" s="8" t="s">
        <v>287</v>
      </c>
      <c r="G423" s="8" t="s">
        <v>90</v>
      </c>
      <c r="H423" s="8" t="s">
        <v>73</v>
      </c>
      <c r="I423" s="8" t="s">
        <v>90</v>
      </c>
      <c r="J423" s="8" t="s">
        <v>279</v>
      </c>
      <c r="K423" s="8">
        <v>0</v>
      </c>
      <c r="L423" s="8">
        <v>16</v>
      </c>
      <c r="M423" s="8">
        <v>16</v>
      </c>
      <c r="N423" s="9">
        <v>0</v>
      </c>
      <c r="O423" s="9">
        <v>0</v>
      </c>
      <c r="P423" s="9">
        <v>0</v>
      </c>
      <c r="Q423" s="9">
        <v>0</v>
      </c>
      <c r="R423" s="9">
        <v>0</v>
      </c>
      <c r="S423" s="9"/>
      <c r="T423" s="8"/>
      <c r="U423" s="8"/>
      <c r="V423" s="8" t="s">
        <v>288</v>
      </c>
      <c r="W423" s="10">
        <v>12</v>
      </c>
      <c r="X423" s="11" t="s">
        <v>1459</v>
      </c>
      <c r="Y423" s="11" t="s">
        <v>1460</v>
      </c>
      <c r="Z423" s="11" t="s">
        <v>1418</v>
      </c>
    </row>
    <row r="424" ht="31" customHeight="1" spans="1:26">
      <c r="A424" s="8" t="s">
        <v>88</v>
      </c>
      <c r="B424" s="8" t="s">
        <v>51</v>
      </c>
      <c r="C424" s="8" t="s">
        <v>1462</v>
      </c>
      <c r="D424" s="8" t="s">
        <v>285</v>
      </c>
      <c r="E424" s="8" t="s">
        <v>286</v>
      </c>
      <c r="F424" s="8" t="s">
        <v>287</v>
      </c>
      <c r="G424" s="8" t="s">
        <v>90</v>
      </c>
      <c r="H424" s="8" t="s">
        <v>73</v>
      </c>
      <c r="I424" s="8" t="s">
        <v>90</v>
      </c>
      <c r="J424" s="8" t="s">
        <v>279</v>
      </c>
      <c r="K424" s="8">
        <v>0</v>
      </c>
      <c r="L424" s="8">
        <v>16</v>
      </c>
      <c r="M424" s="8">
        <v>16</v>
      </c>
      <c r="N424" s="9">
        <v>0</v>
      </c>
      <c r="O424" s="9">
        <v>0</v>
      </c>
      <c r="P424" s="9">
        <v>0</v>
      </c>
      <c r="Q424" s="9">
        <v>0</v>
      </c>
      <c r="R424" s="9">
        <v>0</v>
      </c>
      <c r="S424" s="9"/>
      <c r="T424" s="8"/>
      <c r="U424" s="8"/>
      <c r="V424" s="8" t="s">
        <v>288</v>
      </c>
      <c r="W424" s="10">
        <v>12</v>
      </c>
      <c r="X424" s="11" t="s">
        <v>1459</v>
      </c>
      <c r="Y424" s="11" t="s">
        <v>1460</v>
      </c>
      <c r="Z424" s="11" t="s">
        <v>1418</v>
      </c>
    </row>
    <row r="425" ht="46" customHeight="1" spans="1:26">
      <c r="A425" s="8" t="s">
        <v>88</v>
      </c>
      <c r="B425" s="8" t="s">
        <v>51</v>
      </c>
      <c r="C425" s="8" t="s">
        <v>1463</v>
      </c>
      <c r="D425" s="8" t="s">
        <v>285</v>
      </c>
      <c r="E425" s="8" t="s">
        <v>286</v>
      </c>
      <c r="F425" s="8" t="s">
        <v>287</v>
      </c>
      <c r="G425" s="8" t="s">
        <v>90</v>
      </c>
      <c r="H425" s="8" t="s">
        <v>73</v>
      </c>
      <c r="I425" s="8" t="s">
        <v>90</v>
      </c>
      <c r="J425" s="8" t="s">
        <v>279</v>
      </c>
      <c r="K425" s="8">
        <v>0</v>
      </c>
      <c r="L425" s="8">
        <v>8</v>
      </c>
      <c r="M425" s="8">
        <v>8</v>
      </c>
      <c r="N425" s="9">
        <v>0</v>
      </c>
      <c r="O425" s="9">
        <v>0</v>
      </c>
      <c r="P425" s="9">
        <v>0</v>
      </c>
      <c r="Q425" s="9">
        <v>0</v>
      </c>
      <c r="R425" s="9">
        <v>0</v>
      </c>
      <c r="S425" s="9"/>
      <c r="T425" s="8"/>
      <c r="U425" s="8"/>
      <c r="V425" s="8" t="s">
        <v>288</v>
      </c>
      <c r="W425" s="10">
        <v>12</v>
      </c>
      <c r="X425" s="11" t="s">
        <v>1464</v>
      </c>
      <c r="Y425" s="11" t="s">
        <v>1427</v>
      </c>
      <c r="Z425" s="11" t="s">
        <v>1418</v>
      </c>
    </row>
    <row r="426" ht="31" customHeight="1" spans="1:26">
      <c r="A426" s="8" t="s">
        <v>88</v>
      </c>
      <c r="B426" s="8" t="s">
        <v>51</v>
      </c>
      <c r="C426" s="8" t="s">
        <v>1465</v>
      </c>
      <c r="D426" s="8" t="s">
        <v>267</v>
      </c>
      <c r="E426" s="8" t="s">
        <v>277</v>
      </c>
      <c r="F426" s="8" t="s">
        <v>278</v>
      </c>
      <c r="G426" s="8" t="s">
        <v>73</v>
      </c>
      <c r="H426" s="8" t="s">
        <v>73</v>
      </c>
      <c r="I426" s="8" t="s">
        <v>90</v>
      </c>
      <c r="J426" s="8" t="s">
        <v>279</v>
      </c>
      <c r="K426" s="8">
        <v>0</v>
      </c>
      <c r="L426" s="8">
        <v>12</v>
      </c>
      <c r="M426" s="8">
        <v>12</v>
      </c>
      <c r="N426" s="9">
        <v>0</v>
      </c>
      <c r="O426" s="9">
        <v>0</v>
      </c>
      <c r="P426" s="9">
        <v>0</v>
      </c>
      <c r="Q426" s="9">
        <v>0</v>
      </c>
      <c r="R426" s="9">
        <v>0</v>
      </c>
      <c r="S426" s="9"/>
      <c r="T426" s="8"/>
      <c r="U426" s="8"/>
      <c r="V426" s="8" t="s">
        <v>288</v>
      </c>
      <c r="W426" s="10">
        <v>12</v>
      </c>
      <c r="X426" s="11" t="s">
        <v>1466</v>
      </c>
      <c r="Y426" s="11" t="s">
        <v>1427</v>
      </c>
      <c r="Z426" s="11" t="s">
        <v>1418</v>
      </c>
    </row>
    <row r="427" ht="31" customHeight="1" spans="1:26">
      <c r="A427" s="8" t="s">
        <v>88</v>
      </c>
      <c r="B427" s="8" t="s">
        <v>51</v>
      </c>
      <c r="C427" s="8" t="s">
        <v>1467</v>
      </c>
      <c r="D427" s="8" t="s">
        <v>267</v>
      </c>
      <c r="E427" s="8" t="s">
        <v>277</v>
      </c>
      <c r="F427" s="8" t="s">
        <v>278</v>
      </c>
      <c r="G427" s="8" t="s">
        <v>90</v>
      </c>
      <c r="H427" s="8" t="s">
        <v>73</v>
      </c>
      <c r="I427" s="8" t="s">
        <v>73</v>
      </c>
      <c r="J427" s="8" t="s">
        <v>279</v>
      </c>
      <c r="K427" s="8">
        <v>0</v>
      </c>
      <c r="L427" s="8">
        <v>2</v>
      </c>
      <c r="M427" s="8">
        <v>2</v>
      </c>
      <c r="N427" s="9">
        <v>8</v>
      </c>
      <c r="O427" s="9">
        <v>0</v>
      </c>
      <c r="P427" s="9">
        <v>0</v>
      </c>
      <c r="Q427" s="9">
        <v>0</v>
      </c>
      <c r="R427" s="9">
        <v>0</v>
      </c>
      <c r="S427" s="9"/>
      <c r="T427" s="8"/>
      <c r="U427" s="8"/>
      <c r="V427" s="8" t="s">
        <v>288</v>
      </c>
      <c r="W427" s="10">
        <v>4</v>
      </c>
      <c r="X427" s="11"/>
      <c r="Y427" s="11"/>
      <c r="Z427" s="11"/>
    </row>
    <row r="428" ht="31" customHeight="1" spans="1:26">
      <c r="A428" s="8" t="s">
        <v>62</v>
      </c>
      <c r="B428" s="8" t="s">
        <v>51</v>
      </c>
      <c r="C428" s="8" t="s">
        <v>1468</v>
      </c>
      <c r="D428" s="8" t="s">
        <v>267</v>
      </c>
      <c r="E428" s="8" t="s">
        <v>268</v>
      </c>
      <c r="F428" s="8" t="s">
        <v>269</v>
      </c>
      <c r="G428" s="8" t="s">
        <v>90</v>
      </c>
      <c r="H428" s="8" t="s">
        <v>90</v>
      </c>
      <c r="I428" s="8" t="s">
        <v>90</v>
      </c>
      <c r="J428" s="8" t="s">
        <v>270</v>
      </c>
      <c r="K428" s="8">
        <v>8</v>
      </c>
      <c r="L428" s="8">
        <v>16</v>
      </c>
      <c r="M428" s="8">
        <v>24</v>
      </c>
      <c r="N428" s="9">
        <v>780</v>
      </c>
      <c r="O428" s="9">
        <v>744</v>
      </c>
      <c r="P428" s="9">
        <v>604</v>
      </c>
      <c r="Q428" s="9">
        <v>732</v>
      </c>
      <c r="R428" s="9">
        <v>804</v>
      </c>
      <c r="S428" s="9"/>
      <c r="T428" s="8"/>
      <c r="U428" s="8" t="s">
        <v>507</v>
      </c>
      <c r="V428" s="8" t="s">
        <v>507</v>
      </c>
      <c r="W428" s="10">
        <v>1000</v>
      </c>
      <c r="X428" s="11" t="s">
        <v>1469</v>
      </c>
      <c r="Y428" s="11" t="s">
        <v>1470</v>
      </c>
      <c r="Z428" s="11" t="s">
        <v>1471</v>
      </c>
    </row>
    <row r="429" ht="46" customHeight="1" spans="1:26">
      <c r="A429" s="8" t="s">
        <v>62</v>
      </c>
      <c r="B429" s="8" t="s">
        <v>51</v>
      </c>
      <c r="C429" s="8" t="s">
        <v>1472</v>
      </c>
      <c r="D429" s="8" t="s">
        <v>267</v>
      </c>
      <c r="E429" s="8" t="s">
        <v>286</v>
      </c>
      <c r="F429" s="8" t="s">
        <v>287</v>
      </c>
      <c r="G429" s="8" t="s">
        <v>90</v>
      </c>
      <c r="H429" s="8" t="s">
        <v>90</v>
      </c>
      <c r="I429" s="8" t="s">
        <v>90</v>
      </c>
      <c r="J429" s="8" t="s">
        <v>293</v>
      </c>
      <c r="K429" s="8">
        <v>4</v>
      </c>
      <c r="L429" s="8">
        <v>12</v>
      </c>
      <c r="M429" s="8">
        <v>16</v>
      </c>
      <c r="N429" s="9">
        <v>168</v>
      </c>
      <c r="O429" s="9">
        <v>168</v>
      </c>
      <c r="P429" s="9">
        <v>168</v>
      </c>
      <c r="Q429" s="9">
        <v>268</v>
      </c>
      <c r="R429" s="9">
        <v>356</v>
      </c>
      <c r="S429" s="9"/>
      <c r="T429" s="8"/>
      <c r="U429" s="8" t="s">
        <v>454</v>
      </c>
      <c r="V429" s="8" t="s">
        <v>507</v>
      </c>
      <c r="W429" s="10">
        <v>500</v>
      </c>
      <c r="X429" s="11" t="s">
        <v>1473</v>
      </c>
      <c r="Y429" s="11" t="s">
        <v>1474</v>
      </c>
      <c r="Z429" s="11" t="s">
        <v>1475</v>
      </c>
    </row>
    <row r="430" ht="46" customHeight="1" spans="1:26">
      <c r="A430" s="8" t="s">
        <v>62</v>
      </c>
      <c r="B430" s="8" t="s">
        <v>51</v>
      </c>
      <c r="C430" s="8" t="s">
        <v>1476</v>
      </c>
      <c r="D430" s="8" t="s">
        <v>267</v>
      </c>
      <c r="E430" s="8" t="s">
        <v>268</v>
      </c>
      <c r="F430" s="8" t="s">
        <v>269</v>
      </c>
      <c r="G430" s="8" t="s">
        <v>90</v>
      </c>
      <c r="H430" s="8" t="s">
        <v>90</v>
      </c>
      <c r="I430" s="8" t="s">
        <v>90</v>
      </c>
      <c r="J430" s="8" t="s">
        <v>270</v>
      </c>
      <c r="K430" s="8">
        <v>4</v>
      </c>
      <c r="L430" s="8">
        <v>4</v>
      </c>
      <c r="M430" s="8">
        <v>8</v>
      </c>
      <c r="N430" s="9">
        <v>28</v>
      </c>
      <c r="O430" s="9">
        <v>28</v>
      </c>
      <c r="P430" s="9">
        <v>8</v>
      </c>
      <c r="Q430" s="9">
        <v>12</v>
      </c>
      <c r="R430" s="9">
        <v>24</v>
      </c>
      <c r="S430" s="9"/>
      <c r="T430" s="8"/>
      <c r="U430" s="8" t="s">
        <v>288</v>
      </c>
      <c r="V430" s="8" t="s">
        <v>272</v>
      </c>
      <c r="W430" s="10">
        <v>80</v>
      </c>
      <c r="X430" s="11" t="s">
        <v>1477</v>
      </c>
      <c r="Y430" s="11" t="s">
        <v>1478</v>
      </c>
      <c r="Z430" s="11" t="s">
        <v>1479</v>
      </c>
    </row>
    <row r="431" ht="46" customHeight="1" spans="1:26">
      <c r="A431" s="8" t="s">
        <v>62</v>
      </c>
      <c r="B431" s="8" t="s">
        <v>51</v>
      </c>
      <c r="C431" s="8" t="s">
        <v>1480</v>
      </c>
      <c r="D431" s="8" t="s">
        <v>267</v>
      </c>
      <c r="E431" s="8" t="s">
        <v>277</v>
      </c>
      <c r="F431" s="8" t="s">
        <v>278</v>
      </c>
      <c r="G431" s="8" t="s">
        <v>90</v>
      </c>
      <c r="H431" s="8" t="s">
        <v>90</v>
      </c>
      <c r="I431" s="8" t="s">
        <v>90</v>
      </c>
      <c r="J431" s="8" t="s">
        <v>279</v>
      </c>
      <c r="K431" s="8">
        <v>0</v>
      </c>
      <c r="L431" s="8">
        <v>16</v>
      </c>
      <c r="M431" s="8">
        <v>16</v>
      </c>
      <c r="N431" s="9">
        <v>4</v>
      </c>
      <c r="O431" s="9">
        <v>4</v>
      </c>
      <c r="P431" s="9">
        <v>12</v>
      </c>
      <c r="Q431" s="9">
        <v>24</v>
      </c>
      <c r="R431" s="9">
        <v>20</v>
      </c>
      <c r="S431" s="9"/>
      <c r="T431" s="8"/>
      <c r="U431" s="8" t="s">
        <v>288</v>
      </c>
      <c r="V431" s="8" t="s">
        <v>272</v>
      </c>
      <c r="W431" s="10">
        <v>32</v>
      </c>
      <c r="X431" s="11" t="s">
        <v>1481</v>
      </c>
      <c r="Y431" s="11" t="s">
        <v>1482</v>
      </c>
      <c r="Z431" s="11" t="s">
        <v>1483</v>
      </c>
    </row>
    <row r="432" ht="46" customHeight="1" spans="1:26">
      <c r="A432" s="8" t="s">
        <v>62</v>
      </c>
      <c r="B432" s="8" t="s">
        <v>51</v>
      </c>
      <c r="C432" s="8" t="s">
        <v>1484</v>
      </c>
      <c r="D432" s="8" t="s">
        <v>267</v>
      </c>
      <c r="E432" s="8" t="s">
        <v>277</v>
      </c>
      <c r="F432" s="8" t="s">
        <v>278</v>
      </c>
      <c r="G432" s="8" t="s">
        <v>90</v>
      </c>
      <c r="H432" s="8" t="s">
        <v>73</v>
      </c>
      <c r="I432" s="8" t="s">
        <v>90</v>
      </c>
      <c r="J432" s="8" t="s">
        <v>279</v>
      </c>
      <c r="K432" s="8">
        <v>0</v>
      </c>
      <c r="L432" s="8">
        <v>12</v>
      </c>
      <c r="M432" s="8">
        <v>12</v>
      </c>
      <c r="N432" s="9">
        <v>6</v>
      </c>
      <c r="O432" s="9">
        <v>8</v>
      </c>
      <c r="P432" s="9">
        <v>16</v>
      </c>
      <c r="Q432" s="9">
        <v>8</v>
      </c>
      <c r="R432" s="9">
        <v>16</v>
      </c>
      <c r="S432" s="9"/>
      <c r="T432" s="8"/>
      <c r="U432" s="8" t="s">
        <v>288</v>
      </c>
      <c r="V432" s="8" t="s">
        <v>288</v>
      </c>
      <c r="W432" s="10">
        <v>4</v>
      </c>
      <c r="X432" s="11" t="s">
        <v>1485</v>
      </c>
      <c r="Y432" s="11" t="s">
        <v>1482</v>
      </c>
      <c r="Z432" s="11" t="s">
        <v>1486</v>
      </c>
    </row>
    <row r="433" ht="46" customHeight="1" spans="1:26">
      <c r="A433" s="8" t="s">
        <v>62</v>
      </c>
      <c r="B433" s="8" t="s">
        <v>51</v>
      </c>
      <c r="C433" s="8" t="s">
        <v>1487</v>
      </c>
      <c r="D433" s="8" t="s">
        <v>267</v>
      </c>
      <c r="E433" s="8" t="s">
        <v>277</v>
      </c>
      <c r="F433" s="8" t="s">
        <v>278</v>
      </c>
      <c r="G433" s="8" t="s">
        <v>90</v>
      </c>
      <c r="H433" s="8" t="s">
        <v>90</v>
      </c>
      <c r="I433" s="8" t="s">
        <v>90</v>
      </c>
      <c r="J433" s="8" t="s">
        <v>279</v>
      </c>
      <c r="K433" s="8">
        <v>0</v>
      </c>
      <c r="L433" s="8">
        <v>8</v>
      </c>
      <c r="M433" s="8">
        <v>8</v>
      </c>
      <c r="N433" s="9">
        <v>12</v>
      </c>
      <c r="O433" s="9">
        <v>12</v>
      </c>
      <c r="P433" s="9">
        <v>12</v>
      </c>
      <c r="Q433" s="9">
        <v>24</v>
      </c>
      <c r="R433" s="9">
        <v>8</v>
      </c>
      <c r="S433" s="9"/>
      <c r="T433" s="8"/>
      <c r="U433" s="8" t="s">
        <v>288</v>
      </c>
      <c r="V433" s="8" t="s">
        <v>280</v>
      </c>
      <c r="W433" s="10">
        <v>16</v>
      </c>
      <c r="X433" s="11" t="s">
        <v>1481</v>
      </c>
      <c r="Y433" s="11" t="s">
        <v>1482</v>
      </c>
      <c r="Z433" s="11" t="s">
        <v>1486</v>
      </c>
    </row>
    <row r="434" ht="46" customHeight="1" spans="1:26">
      <c r="A434" s="8" t="s">
        <v>62</v>
      </c>
      <c r="B434" s="8" t="s">
        <v>51</v>
      </c>
      <c r="C434" s="8" t="s">
        <v>1488</v>
      </c>
      <c r="D434" s="8" t="s">
        <v>267</v>
      </c>
      <c r="E434" s="8" t="s">
        <v>277</v>
      </c>
      <c r="F434" s="8" t="s">
        <v>278</v>
      </c>
      <c r="G434" s="8" t="s">
        <v>90</v>
      </c>
      <c r="H434" s="8" t="s">
        <v>73</v>
      </c>
      <c r="I434" s="8" t="s">
        <v>90</v>
      </c>
      <c r="J434" s="8" t="s">
        <v>279</v>
      </c>
      <c r="K434" s="8">
        <v>0</v>
      </c>
      <c r="L434" s="8">
        <v>8</v>
      </c>
      <c r="M434" s="8">
        <v>8</v>
      </c>
      <c r="N434" s="9">
        <v>12</v>
      </c>
      <c r="O434" s="9">
        <v>8</v>
      </c>
      <c r="P434" s="9">
        <v>4</v>
      </c>
      <c r="Q434" s="9">
        <v>16</v>
      </c>
      <c r="R434" s="9">
        <v>8</v>
      </c>
      <c r="S434" s="9"/>
      <c r="T434" s="8"/>
      <c r="U434" s="8" t="s">
        <v>288</v>
      </c>
      <c r="V434" s="8" t="s">
        <v>280</v>
      </c>
      <c r="W434" s="10">
        <v>4</v>
      </c>
      <c r="X434" s="11" t="s">
        <v>1481</v>
      </c>
      <c r="Y434" s="11" t="s">
        <v>1482</v>
      </c>
      <c r="Z434" s="11" t="s">
        <v>1486</v>
      </c>
    </row>
    <row r="435" ht="31" customHeight="1" spans="1:26">
      <c r="A435" s="8" t="s">
        <v>62</v>
      </c>
      <c r="B435" s="8" t="s">
        <v>51</v>
      </c>
      <c r="C435" s="8" t="s">
        <v>1489</v>
      </c>
      <c r="D435" s="8" t="s">
        <v>267</v>
      </c>
      <c r="E435" s="8" t="s">
        <v>277</v>
      </c>
      <c r="F435" s="8" t="s">
        <v>278</v>
      </c>
      <c r="G435" s="8" t="s">
        <v>90</v>
      </c>
      <c r="H435" s="8" t="s">
        <v>90</v>
      </c>
      <c r="I435" s="8" t="s">
        <v>90</v>
      </c>
      <c r="J435" s="8" t="s">
        <v>279</v>
      </c>
      <c r="K435" s="8">
        <v>0</v>
      </c>
      <c r="L435" s="8">
        <v>20</v>
      </c>
      <c r="M435" s="8">
        <v>20</v>
      </c>
      <c r="N435" s="9">
        <v>0</v>
      </c>
      <c r="O435" s="9">
        <v>0</v>
      </c>
      <c r="P435" s="9">
        <v>0</v>
      </c>
      <c r="Q435" s="9">
        <v>0</v>
      </c>
      <c r="R435" s="9">
        <v>4</v>
      </c>
      <c r="S435" s="9"/>
      <c r="T435" s="8"/>
      <c r="U435" s="8" t="s">
        <v>288</v>
      </c>
      <c r="V435" s="8" t="s">
        <v>271</v>
      </c>
      <c r="W435" s="10">
        <v>16</v>
      </c>
      <c r="X435" s="11" t="s">
        <v>1485</v>
      </c>
      <c r="Y435" s="11" t="s">
        <v>1482</v>
      </c>
      <c r="Z435" s="11" t="s">
        <v>1483</v>
      </c>
    </row>
    <row r="436" ht="31" customHeight="1" spans="1:26">
      <c r="A436" s="8" t="s">
        <v>62</v>
      </c>
      <c r="B436" s="8" t="s">
        <v>51</v>
      </c>
      <c r="C436" s="8" t="s">
        <v>1490</v>
      </c>
      <c r="D436" s="8" t="s">
        <v>267</v>
      </c>
      <c r="E436" s="8" t="s">
        <v>277</v>
      </c>
      <c r="F436" s="8" t="s">
        <v>278</v>
      </c>
      <c r="G436" s="8" t="s">
        <v>90</v>
      </c>
      <c r="H436" s="8" t="s">
        <v>73</v>
      </c>
      <c r="I436" s="8" t="s">
        <v>90</v>
      </c>
      <c r="J436" s="8" t="s">
        <v>279</v>
      </c>
      <c r="K436" s="8">
        <v>0</v>
      </c>
      <c r="L436" s="8">
        <v>16</v>
      </c>
      <c r="M436" s="8">
        <v>16</v>
      </c>
      <c r="N436" s="9">
        <v>4</v>
      </c>
      <c r="O436" s="9">
        <v>0</v>
      </c>
      <c r="P436" s="9">
        <v>0</v>
      </c>
      <c r="Q436" s="9">
        <v>0</v>
      </c>
      <c r="R436" s="9">
        <v>4</v>
      </c>
      <c r="S436" s="9"/>
      <c r="T436" s="8"/>
      <c r="U436" s="8" t="s">
        <v>288</v>
      </c>
      <c r="V436" s="8" t="s">
        <v>271</v>
      </c>
      <c r="W436" s="10">
        <v>4</v>
      </c>
      <c r="X436" s="11" t="s">
        <v>1485</v>
      </c>
      <c r="Y436" s="11" t="s">
        <v>1482</v>
      </c>
      <c r="Z436" s="11" t="s">
        <v>1486</v>
      </c>
    </row>
    <row r="437" ht="46" customHeight="1" spans="1:26">
      <c r="A437" s="8" t="s">
        <v>62</v>
      </c>
      <c r="B437" s="8" t="s">
        <v>51</v>
      </c>
      <c r="C437" s="8" t="s">
        <v>1491</v>
      </c>
      <c r="D437" s="8" t="s">
        <v>267</v>
      </c>
      <c r="E437" s="8" t="s">
        <v>277</v>
      </c>
      <c r="F437" s="8" t="s">
        <v>287</v>
      </c>
      <c r="G437" s="8" t="s">
        <v>90</v>
      </c>
      <c r="H437" s="8" t="s">
        <v>90</v>
      </c>
      <c r="I437" s="8" t="s">
        <v>73</v>
      </c>
      <c r="J437" s="8" t="s">
        <v>279</v>
      </c>
      <c r="K437" s="8">
        <v>0</v>
      </c>
      <c r="L437" s="8">
        <v>16</v>
      </c>
      <c r="M437" s="8">
        <v>16</v>
      </c>
      <c r="N437" s="9">
        <v>8</v>
      </c>
      <c r="O437" s="9">
        <v>0</v>
      </c>
      <c r="P437" s="9">
        <v>0</v>
      </c>
      <c r="Q437" s="9">
        <v>4</v>
      </c>
      <c r="R437" s="9">
        <v>4</v>
      </c>
      <c r="S437" s="9"/>
      <c r="T437" s="8"/>
      <c r="U437" s="8" t="s">
        <v>288</v>
      </c>
      <c r="V437" s="8" t="s">
        <v>280</v>
      </c>
      <c r="W437" s="10">
        <v>16</v>
      </c>
      <c r="X437" s="11" t="s">
        <v>1485</v>
      </c>
      <c r="Y437" s="11" t="s">
        <v>1482</v>
      </c>
      <c r="Z437" s="11" t="s">
        <v>1486</v>
      </c>
    </row>
    <row r="438" ht="46" customHeight="1" spans="1:26">
      <c r="A438" s="8" t="s">
        <v>62</v>
      </c>
      <c r="B438" s="8" t="s">
        <v>51</v>
      </c>
      <c r="C438" s="8" t="s">
        <v>1492</v>
      </c>
      <c r="D438" s="8" t="s">
        <v>267</v>
      </c>
      <c r="E438" s="8" t="s">
        <v>277</v>
      </c>
      <c r="F438" s="8" t="s">
        <v>278</v>
      </c>
      <c r="G438" s="8" t="s">
        <v>90</v>
      </c>
      <c r="H438" s="8" t="s">
        <v>90</v>
      </c>
      <c r="I438" s="8" t="s">
        <v>90</v>
      </c>
      <c r="J438" s="8" t="s">
        <v>279</v>
      </c>
      <c r="K438" s="8">
        <v>0</v>
      </c>
      <c r="L438" s="8">
        <v>8</v>
      </c>
      <c r="M438" s="8">
        <v>8</v>
      </c>
      <c r="N438" s="9">
        <v>0</v>
      </c>
      <c r="O438" s="9">
        <v>0</v>
      </c>
      <c r="P438" s="9">
        <v>0</v>
      </c>
      <c r="Q438" s="9">
        <v>0</v>
      </c>
      <c r="R438" s="9">
        <v>4</v>
      </c>
      <c r="S438" s="9"/>
      <c r="T438" s="8"/>
      <c r="U438" s="8" t="s">
        <v>288</v>
      </c>
      <c r="V438" s="8" t="s">
        <v>280</v>
      </c>
      <c r="W438" s="10">
        <v>16</v>
      </c>
      <c r="X438" s="11" t="s">
        <v>1485</v>
      </c>
      <c r="Y438" s="11" t="s">
        <v>1482</v>
      </c>
      <c r="Z438" s="11" t="s">
        <v>1486</v>
      </c>
    </row>
    <row r="439" ht="46" customHeight="1" spans="1:26">
      <c r="A439" s="8" t="s">
        <v>62</v>
      </c>
      <c r="B439" s="8" t="s">
        <v>51</v>
      </c>
      <c r="C439" s="8" t="s">
        <v>1493</v>
      </c>
      <c r="D439" s="8" t="s">
        <v>267</v>
      </c>
      <c r="E439" s="8" t="s">
        <v>277</v>
      </c>
      <c r="F439" s="8" t="s">
        <v>278</v>
      </c>
      <c r="G439" s="8" t="s">
        <v>90</v>
      </c>
      <c r="H439" s="8" t="s">
        <v>73</v>
      </c>
      <c r="I439" s="8" t="s">
        <v>73</v>
      </c>
      <c r="J439" s="8" t="s">
        <v>279</v>
      </c>
      <c r="K439" s="8">
        <v>0</v>
      </c>
      <c r="L439" s="8">
        <v>12</v>
      </c>
      <c r="M439" s="8">
        <v>12</v>
      </c>
      <c r="N439" s="9">
        <v>0</v>
      </c>
      <c r="O439" s="9">
        <v>0</v>
      </c>
      <c r="P439" s="9">
        <v>0</v>
      </c>
      <c r="Q439" s="9">
        <v>0</v>
      </c>
      <c r="R439" s="9">
        <v>0</v>
      </c>
      <c r="S439" s="9"/>
      <c r="T439" s="8"/>
      <c r="U439" s="8" t="s">
        <v>288</v>
      </c>
      <c r="V439" s="8" t="s">
        <v>280</v>
      </c>
      <c r="W439" s="10">
        <v>4</v>
      </c>
      <c r="X439" s="11" t="s">
        <v>1481</v>
      </c>
      <c r="Y439" s="11" t="s">
        <v>1482</v>
      </c>
      <c r="Z439" s="11" t="s">
        <v>1486</v>
      </c>
    </row>
    <row r="440" ht="46" customHeight="1" spans="1:26">
      <c r="A440" s="8" t="s">
        <v>62</v>
      </c>
      <c r="B440" s="8" t="s">
        <v>51</v>
      </c>
      <c r="C440" s="8" t="s">
        <v>1494</v>
      </c>
      <c r="D440" s="8" t="s">
        <v>267</v>
      </c>
      <c r="E440" s="8" t="s">
        <v>277</v>
      </c>
      <c r="F440" s="8" t="s">
        <v>278</v>
      </c>
      <c r="G440" s="8" t="s">
        <v>90</v>
      </c>
      <c r="H440" s="8" t="s">
        <v>73</v>
      </c>
      <c r="I440" s="8" t="s">
        <v>73</v>
      </c>
      <c r="J440" s="8" t="s">
        <v>279</v>
      </c>
      <c r="K440" s="8">
        <v>0</v>
      </c>
      <c r="L440" s="8">
        <v>8</v>
      </c>
      <c r="M440" s="8">
        <v>8</v>
      </c>
      <c r="N440" s="9">
        <v>0</v>
      </c>
      <c r="O440" s="9">
        <v>4</v>
      </c>
      <c r="P440" s="9">
        <v>0</v>
      </c>
      <c r="Q440" s="9">
        <v>0</v>
      </c>
      <c r="R440" s="9">
        <v>4</v>
      </c>
      <c r="S440" s="9"/>
      <c r="T440" s="8"/>
      <c r="U440" s="8" t="s">
        <v>288</v>
      </c>
      <c r="V440" s="8" t="s">
        <v>280</v>
      </c>
      <c r="W440" s="10">
        <v>4</v>
      </c>
      <c r="X440" s="11" t="s">
        <v>1481</v>
      </c>
      <c r="Y440" s="11" t="s">
        <v>1482</v>
      </c>
      <c r="Z440" s="11" t="s">
        <v>1486</v>
      </c>
    </row>
    <row r="441" ht="55.5" customHeight="1" spans="1:26">
      <c r="A441" s="8" t="s">
        <v>62</v>
      </c>
      <c r="B441" s="8" t="s">
        <v>51</v>
      </c>
      <c r="C441" s="8" t="s">
        <v>1495</v>
      </c>
      <c r="D441" s="8" t="s">
        <v>285</v>
      </c>
      <c r="E441" s="8" t="s">
        <v>286</v>
      </c>
      <c r="F441" s="8" t="s">
        <v>287</v>
      </c>
      <c r="G441" s="8" t="s">
        <v>90</v>
      </c>
      <c r="H441" s="8" t="s">
        <v>90</v>
      </c>
      <c r="I441" s="8" t="s">
        <v>90</v>
      </c>
      <c r="J441" s="8" t="s">
        <v>279</v>
      </c>
      <c r="K441" s="8">
        <v>0</v>
      </c>
      <c r="L441" s="8">
        <v>12</v>
      </c>
      <c r="M441" s="8">
        <v>12</v>
      </c>
      <c r="N441" s="9">
        <v>0</v>
      </c>
      <c r="O441" s="9">
        <v>12</v>
      </c>
      <c r="P441" s="9">
        <v>0</v>
      </c>
      <c r="Q441" s="9">
        <v>0</v>
      </c>
      <c r="R441" s="9">
        <v>0</v>
      </c>
      <c r="S441" s="9"/>
      <c r="T441" s="8"/>
      <c r="U441" s="8" t="s">
        <v>301</v>
      </c>
      <c r="V441" s="8" t="s">
        <v>280</v>
      </c>
      <c r="W441" s="10">
        <v>16</v>
      </c>
      <c r="X441" s="11" t="s">
        <v>1496</v>
      </c>
      <c r="Y441" s="11" t="s">
        <v>1497</v>
      </c>
      <c r="Z441" s="11" t="s">
        <v>1486</v>
      </c>
    </row>
    <row r="442" ht="27.75" customHeight="1" spans="1:26">
      <c r="A442" s="8" t="s">
        <v>62</v>
      </c>
      <c r="B442" s="8" t="s">
        <v>51</v>
      </c>
      <c r="C442" s="8" t="s">
        <v>1498</v>
      </c>
      <c r="D442" s="8" t="s">
        <v>285</v>
      </c>
      <c r="E442" s="8" t="s">
        <v>286</v>
      </c>
      <c r="F442" s="8" t="s">
        <v>287</v>
      </c>
      <c r="G442" s="8" t="s">
        <v>90</v>
      </c>
      <c r="H442" s="8" t="s">
        <v>90</v>
      </c>
      <c r="I442" s="8" t="s">
        <v>90</v>
      </c>
      <c r="J442" s="8" t="s">
        <v>293</v>
      </c>
      <c r="K442" s="8">
        <v>4</v>
      </c>
      <c r="L442" s="8">
        <v>16</v>
      </c>
      <c r="M442" s="8">
        <v>20</v>
      </c>
      <c r="N442" s="9">
        <v>20</v>
      </c>
      <c r="O442" s="9">
        <v>8</v>
      </c>
      <c r="P442" s="9">
        <v>4</v>
      </c>
      <c r="Q442" s="9">
        <v>0</v>
      </c>
      <c r="R442" s="9">
        <v>0</v>
      </c>
      <c r="S442" s="9"/>
      <c r="T442" s="8"/>
      <c r="U442" s="8" t="s">
        <v>301</v>
      </c>
      <c r="V442" s="8" t="s">
        <v>280</v>
      </c>
      <c r="W442" s="10">
        <v>32</v>
      </c>
      <c r="X442" s="11" t="s">
        <v>1496</v>
      </c>
      <c r="Y442" s="11" t="s">
        <v>1499</v>
      </c>
      <c r="Z442" s="11" t="s">
        <v>1500</v>
      </c>
    </row>
    <row r="443" ht="55.5" customHeight="1" spans="1:26">
      <c r="A443" s="8" t="s">
        <v>62</v>
      </c>
      <c r="B443" s="8" t="s">
        <v>51</v>
      </c>
      <c r="C443" s="8" t="s">
        <v>1501</v>
      </c>
      <c r="D443" s="8" t="s">
        <v>285</v>
      </c>
      <c r="E443" s="8" t="s">
        <v>286</v>
      </c>
      <c r="F443" s="8" t="s">
        <v>287</v>
      </c>
      <c r="G443" s="8" t="s">
        <v>90</v>
      </c>
      <c r="H443" s="8" t="s">
        <v>90</v>
      </c>
      <c r="I443" s="8" t="s">
        <v>90</v>
      </c>
      <c r="J443" s="8" t="s">
        <v>279</v>
      </c>
      <c r="K443" s="8">
        <v>0</v>
      </c>
      <c r="L443" s="8">
        <v>12</v>
      </c>
      <c r="M443" s="8">
        <v>12</v>
      </c>
      <c r="N443" s="9">
        <v>0</v>
      </c>
      <c r="O443" s="9">
        <v>0</v>
      </c>
      <c r="P443" s="9">
        <v>0</v>
      </c>
      <c r="Q443" s="9">
        <v>4</v>
      </c>
      <c r="R443" s="9">
        <v>0</v>
      </c>
      <c r="S443" s="9"/>
      <c r="T443" s="8"/>
      <c r="U443" s="8" t="s">
        <v>301</v>
      </c>
      <c r="V443" s="8" t="s">
        <v>280</v>
      </c>
      <c r="W443" s="10">
        <v>8</v>
      </c>
      <c r="X443" s="11" t="s">
        <v>1496</v>
      </c>
      <c r="Y443" s="11" t="s">
        <v>1497</v>
      </c>
      <c r="Z443" s="11" t="s">
        <v>1486</v>
      </c>
    </row>
    <row r="444" ht="12" customHeight="1" spans="1:26">
      <c r="A444" s="8" t="s">
        <v>62</v>
      </c>
      <c r="B444" s="8" t="s">
        <v>51</v>
      </c>
      <c r="C444" s="8" t="s">
        <v>1502</v>
      </c>
      <c r="D444" s="8" t="s">
        <v>267</v>
      </c>
      <c r="E444" s="8" t="s">
        <v>277</v>
      </c>
      <c r="F444" s="8" t="s">
        <v>278</v>
      </c>
      <c r="G444" s="8" t="s">
        <v>90</v>
      </c>
      <c r="H444" s="8" t="s">
        <v>90</v>
      </c>
      <c r="I444" s="8" t="s">
        <v>90</v>
      </c>
      <c r="J444" s="8" t="s">
        <v>279</v>
      </c>
      <c r="K444" s="8">
        <v>0</v>
      </c>
      <c r="L444" s="8">
        <v>16</v>
      </c>
      <c r="M444" s="8">
        <v>16</v>
      </c>
      <c r="N444" s="9">
        <v>0</v>
      </c>
      <c r="O444" s="9">
        <v>0</v>
      </c>
      <c r="P444" s="9">
        <v>0</v>
      </c>
      <c r="Q444" s="9">
        <v>0</v>
      </c>
      <c r="R444" s="9">
        <v>0</v>
      </c>
      <c r="S444" s="9"/>
      <c r="T444" s="8"/>
      <c r="U444" s="8" t="s">
        <v>301</v>
      </c>
      <c r="V444" s="8" t="s">
        <v>271</v>
      </c>
      <c r="W444" s="10">
        <v>8</v>
      </c>
      <c r="X444" s="11" t="s">
        <v>1481</v>
      </c>
      <c r="Y444" s="11" t="s">
        <v>1503</v>
      </c>
      <c r="Z444" s="11" t="s">
        <v>1483</v>
      </c>
    </row>
    <row r="445" ht="55.5" customHeight="1" spans="1:26">
      <c r="A445" s="8" t="s">
        <v>62</v>
      </c>
      <c r="B445" s="8" t="s">
        <v>51</v>
      </c>
      <c r="C445" s="8" t="s">
        <v>1504</v>
      </c>
      <c r="D445" s="8" t="s">
        <v>285</v>
      </c>
      <c r="E445" s="8" t="s">
        <v>286</v>
      </c>
      <c r="F445" s="8" t="s">
        <v>287</v>
      </c>
      <c r="G445" s="8" t="s">
        <v>90</v>
      </c>
      <c r="H445" s="8" t="s">
        <v>90</v>
      </c>
      <c r="I445" s="8" t="s">
        <v>90</v>
      </c>
      <c r="J445" s="8" t="s">
        <v>279</v>
      </c>
      <c r="K445" s="8">
        <v>0</v>
      </c>
      <c r="L445" s="8">
        <v>16</v>
      </c>
      <c r="M445" s="8">
        <v>16</v>
      </c>
      <c r="N445" s="9">
        <v>0</v>
      </c>
      <c r="O445" s="9">
        <v>0</v>
      </c>
      <c r="P445" s="9">
        <v>0</v>
      </c>
      <c r="Q445" s="9">
        <v>0</v>
      </c>
      <c r="R445" s="9">
        <v>0</v>
      </c>
      <c r="S445" s="9"/>
      <c r="T445" s="8"/>
      <c r="U445" s="8" t="s">
        <v>301</v>
      </c>
      <c r="V445" s="8" t="s">
        <v>280</v>
      </c>
      <c r="W445" s="10">
        <v>16</v>
      </c>
      <c r="X445" s="11" t="s">
        <v>1496</v>
      </c>
      <c r="Y445" s="11" t="s">
        <v>1497</v>
      </c>
      <c r="Z445" s="11" t="s">
        <v>1486</v>
      </c>
    </row>
    <row r="446" ht="55.5" customHeight="1" spans="1:26">
      <c r="A446" s="8" t="s">
        <v>62</v>
      </c>
      <c r="B446" s="8" t="s">
        <v>51</v>
      </c>
      <c r="C446" s="8" t="s">
        <v>1505</v>
      </c>
      <c r="D446" s="8" t="s">
        <v>267</v>
      </c>
      <c r="E446" s="8" t="s">
        <v>277</v>
      </c>
      <c r="F446" s="8" t="s">
        <v>278</v>
      </c>
      <c r="G446" s="8" t="s">
        <v>90</v>
      </c>
      <c r="H446" s="8" t="s">
        <v>90</v>
      </c>
      <c r="I446" s="8" t="s">
        <v>73</v>
      </c>
      <c r="J446" s="8" t="s">
        <v>279</v>
      </c>
      <c r="K446" s="8">
        <v>0</v>
      </c>
      <c r="L446" s="8">
        <v>12</v>
      </c>
      <c r="M446" s="8">
        <v>12</v>
      </c>
      <c r="N446" s="9">
        <v>0</v>
      </c>
      <c r="O446" s="9">
        <v>4</v>
      </c>
      <c r="P446" s="9">
        <v>8</v>
      </c>
      <c r="Q446" s="9">
        <v>4</v>
      </c>
      <c r="R446" s="9">
        <v>0</v>
      </c>
      <c r="S446" s="9"/>
      <c r="T446" s="8"/>
      <c r="U446" s="8" t="s">
        <v>301</v>
      </c>
      <c r="V446" s="8" t="s">
        <v>271</v>
      </c>
      <c r="W446" s="10">
        <v>16</v>
      </c>
      <c r="X446" s="11" t="s">
        <v>1481</v>
      </c>
      <c r="Y446" s="11" t="s">
        <v>1503</v>
      </c>
      <c r="Z446" s="11" t="s">
        <v>1486</v>
      </c>
    </row>
    <row r="447" ht="27.75" customHeight="1" spans="1:26">
      <c r="A447" s="8" t="s">
        <v>62</v>
      </c>
      <c r="B447" s="8" t="s">
        <v>51</v>
      </c>
      <c r="C447" s="8" t="s">
        <v>1506</v>
      </c>
      <c r="D447" s="8" t="s">
        <v>267</v>
      </c>
      <c r="E447" s="8" t="s">
        <v>277</v>
      </c>
      <c r="F447" s="8" t="s">
        <v>278</v>
      </c>
      <c r="G447" s="8" t="s">
        <v>90</v>
      </c>
      <c r="H447" s="8" t="s">
        <v>90</v>
      </c>
      <c r="I447" s="8" t="s">
        <v>73</v>
      </c>
      <c r="J447" s="8" t="s">
        <v>279</v>
      </c>
      <c r="K447" s="8">
        <v>0</v>
      </c>
      <c r="L447" s="8">
        <v>16</v>
      </c>
      <c r="M447" s="8">
        <v>16</v>
      </c>
      <c r="N447" s="9">
        <v>0</v>
      </c>
      <c r="O447" s="9">
        <v>0</v>
      </c>
      <c r="P447" s="9">
        <v>0</v>
      </c>
      <c r="Q447" s="9">
        <v>0</v>
      </c>
      <c r="R447" s="9">
        <v>0</v>
      </c>
      <c r="S447" s="9"/>
      <c r="T447" s="8"/>
      <c r="U447" s="8" t="s">
        <v>301</v>
      </c>
      <c r="V447" s="8" t="s">
        <v>271</v>
      </c>
      <c r="W447" s="10">
        <v>16</v>
      </c>
      <c r="X447" s="11" t="s">
        <v>1481</v>
      </c>
      <c r="Y447" s="11" t="s">
        <v>1482</v>
      </c>
      <c r="Z447" s="11" t="s">
        <v>1486</v>
      </c>
    </row>
    <row r="448" ht="27.75" customHeight="1" spans="1:26">
      <c r="A448" s="8" t="s">
        <v>62</v>
      </c>
      <c r="B448" s="8" t="s">
        <v>51</v>
      </c>
      <c r="C448" s="8" t="s">
        <v>1507</v>
      </c>
      <c r="D448" s="8" t="s">
        <v>267</v>
      </c>
      <c r="E448" s="8" t="s">
        <v>277</v>
      </c>
      <c r="F448" s="8" t="s">
        <v>278</v>
      </c>
      <c r="G448" s="8" t="s">
        <v>90</v>
      </c>
      <c r="H448" s="8" t="s">
        <v>73</v>
      </c>
      <c r="I448" s="8" t="s">
        <v>73</v>
      </c>
      <c r="J448" s="8" t="s">
        <v>279</v>
      </c>
      <c r="K448" s="8">
        <v>0</v>
      </c>
      <c r="L448" s="8">
        <v>8</v>
      </c>
      <c r="M448" s="8">
        <v>8</v>
      </c>
      <c r="N448" s="9">
        <v>0</v>
      </c>
      <c r="O448" s="9">
        <v>0</v>
      </c>
      <c r="P448" s="9">
        <v>0</v>
      </c>
      <c r="Q448" s="9">
        <v>0</v>
      </c>
      <c r="R448" s="9">
        <v>0</v>
      </c>
      <c r="S448" s="9"/>
      <c r="T448" s="8"/>
      <c r="U448" s="8" t="s">
        <v>301</v>
      </c>
      <c r="V448" s="8" t="s">
        <v>288</v>
      </c>
      <c r="W448" s="10">
        <v>4</v>
      </c>
      <c r="X448" s="11" t="s">
        <v>1481</v>
      </c>
      <c r="Y448" s="11" t="s">
        <v>1482</v>
      </c>
      <c r="Z448" s="11" t="s">
        <v>1486</v>
      </c>
    </row>
    <row r="449" ht="27.75" customHeight="1" spans="1:26">
      <c r="A449" s="8" t="s">
        <v>62</v>
      </c>
      <c r="B449" s="8" t="s">
        <v>51</v>
      </c>
      <c r="C449" s="8" t="s">
        <v>1508</v>
      </c>
      <c r="D449" s="8" t="s">
        <v>267</v>
      </c>
      <c r="E449" s="8" t="s">
        <v>277</v>
      </c>
      <c r="F449" s="8" t="s">
        <v>278</v>
      </c>
      <c r="G449" s="8" t="s">
        <v>90</v>
      </c>
      <c r="H449" s="8" t="s">
        <v>90</v>
      </c>
      <c r="I449" s="8" t="s">
        <v>90</v>
      </c>
      <c r="J449" s="8" t="s">
        <v>279</v>
      </c>
      <c r="K449" s="8">
        <v>0</v>
      </c>
      <c r="L449" s="8">
        <v>8</v>
      </c>
      <c r="M449" s="8">
        <v>8</v>
      </c>
      <c r="N449" s="9">
        <v>4</v>
      </c>
      <c r="O449" s="9">
        <v>4</v>
      </c>
      <c r="P449" s="9">
        <v>4</v>
      </c>
      <c r="Q449" s="9">
        <v>4</v>
      </c>
      <c r="R449" s="9">
        <v>0</v>
      </c>
      <c r="S449" s="9"/>
      <c r="T449" s="8"/>
      <c r="U449" s="8" t="s">
        <v>301</v>
      </c>
      <c r="V449" s="8" t="s">
        <v>288</v>
      </c>
      <c r="W449" s="10">
        <v>8</v>
      </c>
      <c r="X449" s="11" t="s">
        <v>1481</v>
      </c>
      <c r="Y449" s="11" t="s">
        <v>1503</v>
      </c>
      <c r="Z449" s="11" t="s">
        <v>1486</v>
      </c>
    </row>
    <row r="450" ht="27.75" customHeight="1" spans="1:26">
      <c r="A450" s="8" t="s">
        <v>62</v>
      </c>
      <c r="B450" s="8" t="s">
        <v>51</v>
      </c>
      <c r="C450" s="8" t="s">
        <v>1509</v>
      </c>
      <c r="D450" s="8" t="s">
        <v>267</v>
      </c>
      <c r="E450" s="8" t="s">
        <v>277</v>
      </c>
      <c r="F450" s="8" t="s">
        <v>287</v>
      </c>
      <c r="G450" s="8" t="s">
        <v>90</v>
      </c>
      <c r="H450" s="8" t="s">
        <v>90</v>
      </c>
      <c r="I450" s="8" t="s">
        <v>73</v>
      </c>
      <c r="J450" s="8" t="s">
        <v>279</v>
      </c>
      <c r="K450" s="8">
        <v>0</v>
      </c>
      <c r="L450" s="8">
        <v>4</v>
      </c>
      <c r="M450" s="8">
        <v>4</v>
      </c>
      <c r="N450" s="9">
        <v>0</v>
      </c>
      <c r="O450" s="9">
        <v>16</v>
      </c>
      <c r="P450" s="9">
        <v>44</v>
      </c>
      <c r="Q450" s="9">
        <v>4</v>
      </c>
      <c r="R450" s="9">
        <v>0</v>
      </c>
      <c r="S450" s="9"/>
      <c r="T450" s="8"/>
      <c r="U450" s="8" t="s">
        <v>301</v>
      </c>
      <c r="V450" s="8" t="s">
        <v>288</v>
      </c>
      <c r="W450" s="10">
        <v>32</v>
      </c>
      <c r="X450" s="11" t="s">
        <v>1481</v>
      </c>
      <c r="Y450" s="11" t="s">
        <v>1503</v>
      </c>
      <c r="Z450" s="11" t="s">
        <v>1486</v>
      </c>
    </row>
    <row r="451" ht="66" customHeight="1" spans="1:26">
      <c r="A451" s="8" t="s">
        <v>62</v>
      </c>
      <c r="B451" s="8" t="s">
        <v>51</v>
      </c>
      <c r="C451" s="8" t="s">
        <v>1510</v>
      </c>
      <c r="D451" s="8" t="s">
        <v>267</v>
      </c>
      <c r="E451" s="8" t="s">
        <v>277</v>
      </c>
      <c r="F451" s="8" t="s">
        <v>287</v>
      </c>
      <c r="G451" s="8" t="s">
        <v>73</v>
      </c>
      <c r="H451" s="8" t="s">
        <v>90</v>
      </c>
      <c r="I451" s="8" t="s">
        <v>73</v>
      </c>
      <c r="J451" s="8" t="s">
        <v>279</v>
      </c>
      <c r="K451" s="8">
        <v>0</v>
      </c>
      <c r="L451" s="8">
        <v>4</v>
      </c>
      <c r="M451" s="8">
        <v>4</v>
      </c>
      <c r="N451" s="9">
        <v>0</v>
      </c>
      <c r="O451" s="9">
        <v>12</v>
      </c>
      <c r="P451" s="9">
        <v>8</v>
      </c>
      <c r="Q451" s="9">
        <v>8</v>
      </c>
      <c r="R451" s="9">
        <v>0</v>
      </c>
      <c r="S451" s="9"/>
      <c r="T451" s="8"/>
      <c r="U451" s="8" t="s">
        <v>301</v>
      </c>
      <c r="V451" s="8" t="s">
        <v>288</v>
      </c>
      <c r="W451" s="10">
        <v>16</v>
      </c>
      <c r="X451" s="11" t="s">
        <v>1481</v>
      </c>
      <c r="Y451" s="11" t="s">
        <v>1503</v>
      </c>
      <c r="Z451" s="11" t="s">
        <v>1486</v>
      </c>
    </row>
    <row r="452" ht="66" customHeight="1" spans="1:26">
      <c r="A452" s="8" t="s">
        <v>62</v>
      </c>
      <c r="B452" s="8" t="s">
        <v>51</v>
      </c>
      <c r="C452" s="8" t="s">
        <v>1511</v>
      </c>
      <c r="D452" s="8" t="s">
        <v>267</v>
      </c>
      <c r="E452" s="8" t="s">
        <v>317</v>
      </c>
      <c r="F452" s="8" t="s">
        <v>278</v>
      </c>
      <c r="G452" s="8" t="s">
        <v>90</v>
      </c>
      <c r="H452" s="8" t="s">
        <v>90</v>
      </c>
      <c r="I452" s="8" t="s">
        <v>90</v>
      </c>
      <c r="J452" s="8" t="s">
        <v>279</v>
      </c>
      <c r="K452" s="8">
        <v>0</v>
      </c>
      <c r="L452" s="8">
        <v>8</v>
      </c>
      <c r="M452" s="8">
        <v>8</v>
      </c>
      <c r="N452" s="9">
        <v>16</v>
      </c>
      <c r="O452" s="9">
        <v>4</v>
      </c>
      <c r="P452" s="9">
        <v>4</v>
      </c>
      <c r="Q452" s="9">
        <v>4</v>
      </c>
      <c r="R452" s="9">
        <v>0</v>
      </c>
      <c r="S452" s="9"/>
      <c r="T452" s="8"/>
      <c r="U452" s="8" t="s">
        <v>301</v>
      </c>
      <c r="V452" s="8" t="s">
        <v>288</v>
      </c>
      <c r="W452" s="10">
        <v>8</v>
      </c>
      <c r="X452" s="11" t="s">
        <v>1481</v>
      </c>
      <c r="Y452" s="11" t="s">
        <v>1503</v>
      </c>
      <c r="Z452" s="11" t="s">
        <v>1486</v>
      </c>
    </row>
    <row r="453" ht="49.5" customHeight="1" spans="1:26">
      <c r="A453" s="8" t="s">
        <v>62</v>
      </c>
      <c r="B453" s="8" t="s">
        <v>51</v>
      </c>
      <c r="C453" s="8" t="s">
        <v>1512</v>
      </c>
      <c r="D453" s="8" t="s">
        <v>267</v>
      </c>
      <c r="E453" s="8" t="s">
        <v>277</v>
      </c>
      <c r="F453" s="8" t="s">
        <v>278</v>
      </c>
      <c r="G453" s="8" t="s">
        <v>90</v>
      </c>
      <c r="H453" s="8" t="s">
        <v>90</v>
      </c>
      <c r="I453" s="8" t="s">
        <v>73</v>
      </c>
      <c r="J453" s="8" t="s">
        <v>279</v>
      </c>
      <c r="K453" s="8">
        <v>0</v>
      </c>
      <c r="L453" s="8">
        <v>8</v>
      </c>
      <c r="M453" s="8">
        <v>8</v>
      </c>
      <c r="N453" s="9">
        <v>8</v>
      </c>
      <c r="O453" s="9">
        <v>4</v>
      </c>
      <c r="P453" s="9">
        <v>0</v>
      </c>
      <c r="Q453" s="9">
        <v>8</v>
      </c>
      <c r="R453" s="9">
        <v>0</v>
      </c>
      <c r="S453" s="9"/>
      <c r="T453" s="8"/>
      <c r="U453" s="8" t="s">
        <v>301</v>
      </c>
      <c r="V453" s="8" t="s">
        <v>280</v>
      </c>
      <c r="W453" s="10">
        <v>8</v>
      </c>
      <c r="X453" s="11" t="s">
        <v>1481</v>
      </c>
      <c r="Y453" s="11" t="s">
        <v>1503</v>
      </c>
      <c r="Z453" s="11" t="s">
        <v>1486</v>
      </c>
    </row>
    <row r="454" ht="66" customHeight="1" spans="1:26">
      <c r="A454" s="8" t="s">
        <v>62</v>
      </c>
      <c r="B454" s="8" t="s">
        <v>51</v>
      </c>
      <c r="C454" s="8" t="s">
        <v>1513</v>
      </c>
      <c r="D454" s="8" t="s">
        <v>267</v>
      </c>
      <c r="E454" s="8" t="s">
        <v>277</v>
      </c>
      <c r="F454" s="8" t="s">
        <v>278</v>
      </c>
      <c r="G454" s="8" t="s">
        <v>90</v>
      </c>
      <c r="H454" s="8" t="s">
        <v>73</v>
      </c>
      <c r="I454" s="8" t="s">
        <v>73</v>
      </c>
      <c r="J454" s="8" t="s">
        <v>279</v>
      </c>
      <c r="K454" s="8">
        <v>0</v>
      </c>
      <c r="L454" s="8">
        <v>8</v>
      </c>
      <c r="M454" s="8">
        <v>8</v>
      </c>
      <c r="N454" s="9">
        <v>0</v>
      </c>
      <c r="O454" s="9">
        <v>0</v>
      </c>
      <c r="P454" s="9">
        <v>4</v>
      </c>
      <c r="Q454" s="9">
        <v>4</v>
      </c>
      <c r="R454" s="9">
        <v>0</v>
      </c>
      <c r="S454" s="9"/>
      <c r="T454" s="8"/>
      <c r="U454" s="8" t="s">
        <v>301</v>
      </c>
      <c r="V454" s="8" t="s">
        <v>288</v>
      </c>
      <c r="W454" s="10">
        <v>4</v>
      </c>
      <c r="X454" s="11" t="s">
        <v>1481</v>
      </c>
      <c r="Y454" s="11" t="s">
        <v>1503</v>
      </c>
      <c r="Z454" s="11" t="s">
        <v>1486</v>
      </c>
    </row>
    <row r="455" ht="82.5" customHeight="1" spans="1:26">
      <c r="A455" s="8" t="s">
        <v>62</v>
      </c>
      <c r="B455" s="8" t="s">
        <v>51</v>
      </c>
      <c r="C455" s="8" t="s">
        <v>1514</v>
      </c>
      <c r="D455" s="8" t="s">
        <v>267</v>
      </c>
      <c r="E455" s="8" t="s">
        <v>384</v>
      </c>
      <c r="F455" s="8" t="s">
        <v>278</v>
      </c>
      <c r="G455" s="8" t="s">
        <v>90</v>
      </c>
      <c r="H455" s="8" t="s">
        <v>73</v>
      </c>
      <c r="I455" s="8" t="s">
        <v>73</v>
      </c>
      <c r="J455" s="8" t="s">
        <v>279</v>
      </c>
      <c r="K455" s="8">
        <v>0</v>
      </c>
      <c r="L455" s="8">
        <v>16</v>
      </c>
      <c r="M455" s="8">
        <v>16</v>
      </c>
      <c r="N455" s="9">
        <v>4</v>
      </c>
      <c r="O455" s="9">
        <v>8</v>
      </c>
      <c r="P455" s="9">
        <v>0</v>
      </c>
      <c r="Q455" s="9">
        <v>0</v>
      </c>
      <c r="R455" s="9">
        <v>0</v>
      </c>
      <c r="S455" s="9"/>
      <c r="T455" s="8"/>
      <c r="U455" s="8" t="s">
        <v>301</v>
      </c>
      <c r="V455" s="8" t="s">
        <v>288</v>
      </c>
      <c r="W455" s="10">
        <v>4</v>
      </c>
      <c r="X455" s="11" t="s">
        <v>1481</v>
      </c>
      <c r="Y455" s="11" t="s">
        <v>1503</v>
      </c>
      <c r="Z455" s="11" t="s">
        <v>1486</v>
      </c>
    </row>
    <row r="456" ht="49.5" customHeight="1" spans="1:26">
      <c r="A456" s="8" t="s">
        <v>62</v>
      </c>
      <c r="B456" s="8" t="s">
        <v>51</v>
      </c>
      <c r="C456" s="8" t="s">
        <v>1515</v>
      </c>
      <c r="D456" s="8" t="s">
        <v>267</v>
      </c>
      <c r="E456" s="8" t="s">
        <v>277</v>
      </c>
      <c r="F456" s="8" t="s">
        <v>278</v>
      </c>
      <c r="G456" s="8" t="s">
        <v>90</v>
      </c>
      <c r="H456" s="8" t="s">
        <v>73</v>
      </c>
      <c r="I456" s="8" t="s">
        <v>73</v>
      </c>
      <c r="J456" s="8" t="s">
        <v>279</v>
      </c>
      <c r="K456" s="8">
        <v>0</v>
      </c>
      <c r="L456" s="8">
        <v>8</v>
      </c>
      <c r="M456" s="8">
        <v>8</v>
      </c>
      <c r="N456" s="9">
        <v>0</v>
      </c>
      <c r="O456" s="9">
        <v>0</v>
      </c>
      <c r="P456" s="9">
        <v>4</v>
      </c>
      <c r="Q456" s="9">
        <v>0</v>
      </c>
      <c r="R456" s="9">
        <v>0</v>
      </c>
      <c r="S456" s="9"/>
      <c r="T456" s="8"/>
      <c r="U456" s="8" t="s">
        <v>301</v>
      </c>
      <c r="V456" s="8" t="s">
        <v>288</v>
      </c>
      <c r="W456" s="10">
        <v>4</v>
      </c>
      <c r="X456" s="11" t="s">
        <v>1481</v>
      </c>
      <c r="Y456" s="11" t="s">
        <v>1503</v>
      </c>
      <c r="Z456" s="11" t="s">
        <v>1486</v>
      </c>
    </row>
    <row r="457" ht="49.5" customHeight="1" spans="1:26">
      <c r="A457" s="8" t="s">
        <v>62</v>
      </c>
      <c r="B457" s="8" t="s">
        <v>51</v>
      </c>
      <c r="C457" s="8" t="s">
        <v>1516</v>
      </c>
      <c r="D457" s="8" t="s">
        <v>1517</v>
      </c>
      <c r="E457" s="8" t="s">
        <v>1518</v>
      </c>
      <c r="F457" s="8" t="s">
        <v>338</v>
      </c>
      <c r="G457" s="8" t="s">
        <v>90</v>
      </c>
      <c r="H457" s="8" t="s">
        <v>73</v>
      </c>
      <c r="I457" s="8" t="s">
        <v>73</v>
      </c>
      <c r="J457" s="8" t="s">
        <v>279</v>
      </c>
      <c r="K457" s="8">
        <v>0</v>
      </c>
      <c r="L457" s="8">
        <v>8</v>
      </c>
      <c r="M457" s="8">
        <v>8</v>
      </c>
      <c r="N457" s="9">
        <v>0</v>
      </c>
      <c r="O457" s="9">
        <v>0</v>
      </c>
      <c r="P457" s="9">
        <v>0</v>
      </c>
      <c r="Q457" s="9">
        <v>0</v>
      </c>
      <c r="R457" s="9">
        <v>0</v>
      </c>
      <c r="S457" s="9"/>
      <c r="T457" s="8"/>
      <c r="U457" s="8" t="s">
        <v>301</v>
      </c>
      <c r="V457" s="8" t="s">
        <v>288</v>
      </c>
      <c r="W457" s="10">
        <v>4</v>
      </c>
      <c r="X457" s="11" t="s">
        <v>1481</v>
      </c>
      <c r="Y457" s="11" t="s">
        <v>1482</v>
      </c>
      <c r="Z457" s="11" t="s">
        <v>1486</v>
      </c>
    </row>
    <row r="458" ht="49.5" customHeight="1" spans="1:26">
      <c r="A458" s="8" t="s">
        <v>126</v>
      </c>
      <c r="B458" s="8" t="s">
        <v>99</v>
      </c>
      <c r="C458" s="8" t="s">
        <v>1519</v>
      </c>
      <c r="D458" s="8" t="s">
        <v>267</v>
      </c>
      <c r="E458" s="8" t="s">
        <v>441</v>
      </c>
      <c r="F458" s="8" t="s">
        <v>278</v>
      </c>
      <c r="G458" s="8" t="s">
        <v>90</v>
      </c>
      <c r="H458" s="8" t="s">
        <v>90</v>
      </c>
      <c r="I458" s="8" t="s">
        <v>90</v>
      </c>
      <c r="J458" s="8" t="s">
        <v>279</v>
      </c>
      <c r="K458" s="8">
        <v>0</v>
      </c>
      <c r="L458" s="8">
        <v>16</v>
      </c>
      <c r="M458" s="8">
        <v>16</v>
      </c>
      <c r="N458" s="9">
        <v>104</v>
      </c>
      <c r="O458" s="9">
        <v>140</v>
      </c>
      <c r="P458" s="9">
        <v>108</v>
      </c>
      <c r="Q458" s="9">
        <v>144</v>
      </c>
      <c r="R458" s="9">
        <v>148</v>
      </c>
      <c r="S458" s="9">
        <v>148</v>
      </c>
      <c r="T458" s="8"/>
      <c r="U458" s="8" t="s">
        <v>272</v>
      </c>
      <c r="V458" s="8" t="s">
        <v>272</v>
      </c>
      <c r="W458" s="10">
        <v>200</v>
      </c>
      <c r="X458" s="11" t="s">
        <v>1520</v>
      </c>
      <c r="Y458" s="11" t="s">
        <v>1521</v>
      </c>
      <c r="Z458" s="11" t="s">
        <v>1522</v>
      </c>
    </row>
    <row r="459" ht="49.5" customHeight="1" spans="1:26">
      <c r="A459" s="8" t="s">
        <v>126</v>
      </c>
      <c r="B459" s="8" t="s">
        <v>99</v>
      </c>
      <c r="C459" s="8" t="s">
        <v>1523</v>
      </c>
      <c r="D459" s="8" t="s">
        <v>267</v>
      </c>
      <c r="E459" s="8" t="s">
        <v>268</v>
      </c>
      <c r="F459" s="8" t="s">
        <v>269</v>
      </c>
      <c r="G459" s="8" t="s">
        <v>90</v>
      </c>
      <c r="H459" s="8" t="s">
        <v>90</v>
      </c>
      <c r="I459" s="8" t="s">
        <v>90</v>
      </c>
      <c r="J459" s="8" t="s">
        <v>270</v>
      </c>
      <c r="K459" s="8">
        <v>8</v>
      </c>
      <c r="L459" s="8">
        <v>4</v>
      </c>
      <c r="M459" s="8">
        <v>12</v>
      </c>
      <c r="N459" s="9">
        <v>60</v>
      </c>
      <c r="O459" s="9">
        <v>60</v>
      </c>
      <c r="P459" s="9">
        <v>88</v>
      </c>
      <c r="Q459" s="9">
        <v>96</v>
      </c>
      <c r="R459" s="9">
        <v>96</v>
      </c>
      <c r="S459" s="9">
        <v>96</v>
      </c>
      <c r="T459" s="8"/>
      <c r="U459" s="8" t="s">
        <v>271</v>
      </c>
      <c r="V459" s="8" t="s">
        <v>272</v>
      </c>
      <c r="W459" s="10">
        <v>130</v>
      </c>
      <c r="X459" s="11" t="s">
        <v>1524</v>
      </c>
      <c r="Y459" s="11" t="s">
        <v>1525</v>
      </c>
      <c r="Z459" s="11" t="s">
        <v>1526</v>
      </c>
    </row>
    <row r="460" ht="49.5" customHeight="1" spans="1:26">
      <c r="A460" s="8" t="s">
        <v>126</v>
      </c>
      <c r="B460" s="8" t="s">
        <v>99</v>
      </c>
      <c r="C460" s="8" t="s">
        <v>1527</v>
      </c>
      <c r="D460" s="8" t="s">
        <v>267</v>
      </c>
      <c r="E460" s="8" t="s">
        <v>268</v>
      </c>
      <c r="F460" s="8" t="s">
        <v>269</v>
      </c>
      <c r="G460" s="8" t="s">
        <v>90</v>
      </c>
      <c r="H460" s="8" t="s">
        <v>90</v>
      </c>
      <c r="I460" s="8" t="s">
        <v>90</v>
      </c>
      <c r="J460" s="8" t="s">
        <v>270</v>
      </c>
      <c r="K460" s="8">
        <v>4</v>
      </c>
      <c r="L460" s="8">
        <v>12</v>
      </c>
      <c r="M460" s="8">
        <v>12</v>
      </c>
      <c r="N460" s="9">
        <v>16</v>
      </c>
      <c r="O460" s="9">
        <v>48</v>
      </c>
      <c r="P460" s="9">
        <v>56</v>
      </c>
      <c r="Q460" s="9">
        <v>12</v>
      </c>
      <c r="R460" s="9">
        <v>48</v>
      </c>
      <c r="S460" s="9">
        <v>48</v>
      </c>
      <c r="T460" s="8"/>
      <c r="U460" s="8" t="s">
        <v>271</v>
      </c>
      <c r="V460" s="8" t="s">
        <v>272</v>
      </c>
      <c r="W460" s="10">
        <v>80</v>
      </c>
      <c r="X460" s="11" t="s">
        <v>1528</v>
      </c>
      <c r="Y460" s="11" t="s">
        <v>1529</v>
      </c>
      <c r="Z460" s="11" t="s">
        <v>1530</v>
      </c>
    </row>
    <row r="461" ht="49.5" customHeight="1" spans="1:26">
      <c r="A461" s="8" t="s">
        <v>126</v>
      </c>
      <c r="B461" s="8" t="s">
        <v>99</v>
      </c>
      <c r="C461" s="8" t="s">
        <v>1531</v>
      </c>
      <c r="D461" s="8" t="s">
        <v>285</v>
      </c>
      <c r="E461" s="8" t="s">
        <v>286</v>
      </c>
      <c r="F461" s="8" t="s">
        <v>287</v>
      </c>
      <c r="G461" s="8" t="s">
        <v>90</v>
      </c>
      <c r="H461" s="8" t="s">
        <v>90</v>
      </c>
      <c r="I461" s="8" t="s">
        <v>90</v>
      </c>
      <c r="J461" s="8" t="s">
        <v>279</v>
      </c>
      <c r="K461" s="8">
        <v>0</v>
      </c>
      <c r="L461" s="8">
        <v>8</v>
      </c>
      <c r="M461" s="8">
        <v>8</v>
      </c>
      <c r="N461" s="9">
        <v>0</v>
      </c>
      <c r="O461" s="9">
        <v>8</v>
      </c>
      <c r="P461" s="9">
        <v>16</v>
      </c>
      <c r="Q461" s="9">
        <v>32</v>
      </c>
      <c r="R461" s="9">
        <v>36</v>
      </c>
      <c r="S461" s="9">
        <v>20</v>
      </c>
      <c r="T461" s="8"/>
      <c r="U461" s="8" t="s">
        <v>280</v>
      </c>
      <c r="V461" s="8" t="s">
        <v>280</v>
      </c>
      <c r="W461" s="10">
        <v>50</v>
      </c>
      <c r="X461" s="11" t="s">
        <v>1532</v>
      </c>
      <c r="Y461" s="11" t="s">
        <v>1533</v>
      </c>
      <c r="Z461" s="11" t="s">
        <v>1534</v>
      </c>
    </row>
    <row r="462" ht="49.5" customHeight="1" spans="1:26">
      <c r="A462" s="8" t="s">
        <v>126</v>
      </c>
      <c r="B462" s="8" t="s">
        <v>99</v>
      </c>
      <c r="C462" s="8" t="s">
        <v>1535</v>
      </c>
      <c r="D462" s="8" t="s">
        <v>267</v>
      </c>
      <c r="E462" s="8" t="s">
        <v>268</v>
      </c>
      <c r="F462" s="8" t="s">
        <v>269</v>
      </c>
      <c r="G462" s="8" t="s">
        <v>90</v>
      </c>
      <c r="H462" s="8" t="s">
        <v>90</v>
      </c>
      <c r="I462" s="8" t="s">
        <v>90</v>
      </c>
      <c r="J462" s="8" t="s">
        <v>270</v>
      </c>
      <c r="K462" s="8">
        <v>4</v>
      </c>
      <c r="L462" s="8">
        <v>8</v>
      </c>
      <c r="M462" s="8">
        <v>12</v>
      </c>
      <c r="N462" s="9">
        <v>0</v>
      </c>
      <c r="O462" s="9">
        <v>0</v>
      </c>
      <c r="P462" s="9">
        <v>0</v>
      </c>
      <c r="Q462" s="9">
        <v>0</v>
      </c>
      <c r="R462" s="9">
        <v>24</v>
      </c>
      <c r="S462" s="9">
        <v>16</v>
      </c>
      <c r="T462" s="8"/>
      <c r="U462" s="8" t="s">
        <v>288</v>
      </c>
      <c r="V462" s="8" t="s">
        <v>271</v>
      </c>
      <c r="W462" s="10">
        <v>80</v>
      </c>
      <c r="X462" s="11" t="s">
        <v>1536</v>
      </c>
      <c r="Y462" s="11" t="s">
        <v>1537</v>
      </c>
      <c r="Z462" s="11" t="s">
        <v>1538</v>
      </c>
    </row>
    <row r="463" ht="49.5" customHeight="1" spans="1:26">
      <c r="A463" s="8" t="s">
        <v>126</v>
      </c>
      <c r="B463" s="8" t="s">
        <v>99</v>
      </c>
      <c r="C463" s="8" t="s">
        <v>1539</v>
      </c>
      <c r="D463" s="8" t="s">
        <v>267</v>
      </c>
      <c r="E463" s="8" t="s">
        <v>286</v>
      </c>
      <c r="F463" s="8" t="s">
        <v>287</v>
      </c>
      <c r="G463" s="8" t="s">
        <v>90</v>
      </c>
      <c r="H463" s="8" t="s">
        <v>90</v>
      </c>
      <c r="I463" s="8" t="s">
        <v>90</v>
      </c>
      <c r="J463" s="8" t="s">
        <v>279</v>
      </c>
      <c r="K463" s="8">
        <v>0</v>
      </c>
      <c r="L463" s="8">
        <v>8</v>
      </c>
      <c r="M463" s="8">
        <v>8</v>
      </c>
      <c r="N463" s="9">
        <v>4</v>
      </c>
      <c r="O463" s="9">
        <v>12</v>
      </c>
      <c r="P463" s="9">
        <v>0</v>
      </c>
      <c r="Q463" s="9">
        <v>0</v>
      </c>
      <c r="R463" s="9">
        <v>12</v>
      </c>
      <c r="S463" s="9">
        <v>16</v>
      </c>
      <c r="T463" s="8"/>
      <c r="U463" s="8" t="s">
        <v>288</v>
      </c>
      <c r="V463" s="8" t="s">
        <v>280</v>
      </c>
      <c r="W463" s="10">
        <v>50</v>
      </c>
      <c r="X463" s="11" t="s">
        <v>1540</v>
      </c>
      <c r="Y463" s="11" t="s">
        <v>1541</v>
      </c>
      <c r="Z463" s="11" t="s">
        <v>1542</v>
      </c>
    </row>
    <row r="464" ht="49.5" customHeight="1" spans="1:26">
      <c r="A464" s="8" t="s">
        <v>126</v>
      </c>
      <c r="B464" s="8" t="s">
        <v>99</v>
      </c>
      <c r="C464" s="8" t="s">
        <v>1543</v>
      </c>
      <c r="D464" s="8" t="s">
        <v>384</v>
      </c>
      <c r="E464" s="8" t="s">
        <v>268</v>
      </c>
      <c r="F464" s="8" t="s">
        <v>338</v>
      </c>
      <c r="G464" s="8" t="s">
        <v>90</v>
      </c>
      <c r="H464" s="8" t="s">
        <v>90</v>
      </c>
      <c r="I464" s="8" t="s">
        <v>90</v>
      </c>
      <c r="J464" s="8" t="s">
        <v>347</v>
      </c>
      <c r="K464" s="8">
        <v>4</v>
      </c>
      <c r="L464" s="8">
        <v>4</v>
      </c>
      <c r="M464" s="8">
        <v>8</v>
      </c>
      <c r="N464" s="9">
        <v>52</v>
      </c>
      <c r="O464" s="9">
        <v>56</v>
      </c>
      <c r="P464" s="9">
        <v>12</v>
      </c>
      <c r="Q464" s="9">
        <v>16</v>
      </c>
      <c r="R464" s="9">
        <v>12</v>
      </c>
      <c r="S464" s="9">
        <v>28</v>
      </c>
      <c r="T464" s="8"/>
      <c r="U464" s="8" t="s">
        <v>288</v>
      </c>
      <c r="V464" s="8" t="s">
        <v>271</v>
      </c>
      <c r="W464" s="10">
        <v>80</v>
      </c>
      <c r="X464" s="11" t="s">
        <v>1544</v>
      </c>
      <c r="Y464" s="11" t="s">
        <v>1545</v>
      </c>
      <c r="Z464" s="11" t="s">
        <v>1546</v>
      </c>
    </row>
    <row r="465" ht="31" customHeight="1" spans="1:26">
      <c r="A465" s="8" t="s">
        <v>126</v>
      </c>
      <c r="B465" s="8" t="s">
        <v>99</v>
      </c>
      <c r="C465" s="8" t="s">
        <v>1547</v>
      </c>
      <c r="D465" s="8" t="s">
        <v>267</v>
      </c>
      <c r="E465" s="8" t="s">
        <v>277</v>
      </c>
      <c r="F465" s="8" t="s">
        <v>278</v>
      </c>
      <c r="G465" s="8" t="s">
        <v>90</v>
      </c>
      <c r="H465" s="8" t="s">
        <v>90</v>
      </c>
      <c r="I465" s="8" t="s">
        <v>90</v>
      </c>
      <c r="J465" s="8" t="s">
        <v>279</v>
      </c>
      <c r="K465" s="8">
        <v>0</v>
      </c>
      <c r="L465" s="8">
        <v>4</v>
      </c>
      <c r="M465" s="8">
        <v>4</v>
      </c>
      <c r="N465" s="9">
        <v>0</v>
      </c>
      <c r="O465" s="9">
        <v>0</v>
      </c>
      <c r="P465" s="9">
        <v>0</v>
      </c>
      <c r="Q465" s="9">
        <v>8</v>
      </c>
      <c r="R465" s="9">
        <v>8</v>
      </c>
      <c r="S465" s="9">
        <v>16</v>
      </c>
      <c r="T465" s="8"/>
      <c r="U465" s="8" t="s">
        <v>288</v>
      </c>
      <c r="V465" s="8" t="s">
        <v>271</v>
      </c>
      <c r="W465" s="10">
        <v>80</v>
      </c>
      <c r="X465" s="11" t="s">
        <v>1548</v>
      </c>
      <c r="Y465" s="11" t="s">
        <v>1549</v>
      </c>
      <c r="Z465" s="11" t="s">
        <v>1550</v>
      </c>
    </row>
    <row r="466" ht="31" customHeight="1" spans="1:26">
      <c r="A466" s="8" t="s">
        <v>126</v>
      </c>
      <c r="B466" s="8" t="s">
        <v>99</v>
      </c>
      <c r="C466" s="8" t="s">
        <v>1551</v>
      </c>
      <c r="D466" s="8" t="s">
        <v>267</v>
      </c>
      <c r="E466" s="8" t="s">
        <v>277</v>
      </c>
      <c r="F466" s="8" t="s">
        <v>278</v>
      </c>
      <c r="G466" s="8" t="s">
        <v>90</v>
      </c>
      <c r="H466" s="8" t="s">
        <v>90</v>
      </c>
      <c r="I466" s="8" t="s">
        <v>90</v>
      </c>
      <c r="J466" s="8" t="s">
        <v>279</v>
      </c>
      <c r="K466" s="8">
        <v>0</v>
      </c>
      <c r="L466" s="8">
        <v>8</v>
      </c>
      <c r="M466" s="8">
        <v>8</v>
      </c>
      <c r="N466" s="9">
        <v>0</v>
      </c>
      <c r="O466" s="9">
        <v>0</v>
      </c>
      <c r="P466" s="9">
        <v>0</v>
      </c>
      <c r="Q466" s="9">
        <v>0</v>
      </c>
      <c r="R466" s="9">
        <v>4</v>
      </c>
      <c r="S466" s="9">
        <v>8</v>
      </c>
      <c r="T466" s="8"/>
      <c r="U466" s="8" t="s">
        <v>288</v>
      </c>
      <c r="V466" s="8" t="s">
        <v>280</v>
      </c>
      <c r="W466" s="10">
        <v>50</v>
      </c>
      <c r="X466" s="11" t="s">
        <v>1552</v>
      </c>
      <c r="Y466" s="11" t="s">
        <v>1553</v>
      </c>
      <c r="Z466" s="11" t="s">
        <v>1554</v>
      </c>
    </row>
    <row r="467" ht="31" customHeight="1" spans="1:26">
      <c r="A467" s="8" t="s">
        <v>126</v>
      </c>
      <c r="B467" s="8" t="s">
        <v>99</v>
      </c>
      <c r="C467" s="8" t="s">
        <v>1555</v>
      </c>
      <c r="D467" s="8" t="s">
        <v>267</v>
      </c>
      <c r="E467" s="8" t="s">
        <v>277</v>
      </c>
      <c r="F467" s="8" t="s">
        <v>278</v>
      </c>
      <c r="G467" s="8" t="s">
        <v>90</v>
      </c>
      <c r="H467" s="8" t="s">
        <v>73</v>
      </c>
      <c r="I467" s="8" t="s">
        <v>90</v>
      </c>
      <c r="J467" s="8" t="s">
        <v>279</v>
      </c>
      <c r="K467" s="8">
        <v>0</v>
      </c>
      <c r="L467" s="8">
        <v>4</v>
      </c>
      <c r="M467" s="8">
        <v>16</v>
      </c>
      <c r="N467" s="9">
        <v>8</v>
      </c>
      <c r="O467" s="9">
        <v>4</v>
      </c>
      <c r="P467" s="9">
        <v>4</v>
      </c>
      <c r="Q467" s="9">
        <v>0</v>
      </c>
      <c r="R467" s="9">
        <v>4</v>
      </c>
      <c r="S467" s="9">
        <v>4</v>
      </c>
      <c r="T467" s="8"/>
      <c r="U467" s="8" t="s">
        <v>288</v>
      </c>
      <c r="V467" s="8" t="s">
        <v>288</v>
      </c>
      <c r="W467" s="10">
        <v>24</v>
      </c>
      <c r="X467" s="11" t="s">
        <v>1556</v>
      </c>
      <c r="Y467" s="11" t="s">
        <v>1557</v>
      </c>
      <c r="Z467" s="11" t="s">
        <v>1558</v>
      </c>
    </row>
    <row r="468" ht="31" customHeight="1" spans="1:26">
      <c r="A468" s="8" t="s">
        <v>126</v>
      </c>
      <c r="B468" s="8" t="s">
        <v>99</v>
      </c>
      <c r="C468" s="8" t="s">
        <v>1559</v>
      </c>
      <c r="D468" s="8" t="s">
        <v>267</v>
      </c>
      <c r="E468" s="8" t="s">
        <v>277</v>
      </c>
      <c r="F468" s="8" t="s">
        <v>278</v>
      </c>
      <c r="G468" s="8" t="s">
        <v>90</v>
      </c>
      <c r="H468" s="8" t="s">
        <v>73</v>
      </c>
      <c r="I468" s="8" t="s">
        <v>90</v>
      </c>
      <c r="J468" s="8" t="s">
        <v>279</v>
      </c>
      <c r="K468" s="8">
        <v>0</v>
      </c>
      <c r="L468" s="8">
        <v>8</v>
      </c>
      <c r="M468" s="8">
        <v>8</v>
      </c>
      <c r="N468" s="9">
        <v>0</v>
      </c>
      <c r="O468" s="9">
        <v>0</v>
      </c>
      <c r="P468" s="9">
        <v>0</v>
      </c>
      <c r="Q468" s="9">
        <v>0</v>
      </c>
      <c r="R468" s="9">
        <v>0</v>
      </c>
      <c r="S468" s="9">
        <v>0</v>
      </c>
      <c r="T468" s="8"/>
      <c r="U468" s="8" t="s">
        <v>301</v>
      </c>
      <c r="V468" s="8" t="s">
        <v>288</v>
      </c>
      <c r="W468" s="10">
        <v>24</v>
      </c>
      <c r="X468" s="11" t="s">
        <v>1560</v>
      </c>
      <c r="Y468" s="11" t="s">
        <v>1561</v>
      </c>
      <c r="Z468" s="11" t="s">
        <v>1562</v>
      </c>
    </row>
    <row r="469" ht="31" customHeight="1" spans="1:26">
      <c r="A469" s="8" t="s">
        <v>126</v>
      </c>
      <c r="B469" s="8" t="s">
        <v>99</v>
      </c>
      <c r="C469" s="8" t="s">
        <v>1563</v>
      </c>
      <c r="D469" s="8" t="s">
        <v>267</v>
      </c>
      <c r="E469" s="8" t="s">
        <v>277</v>
      </c>
      <c r="F469" s="8" t="s">
        <v>278</v>
      </c>
      <c r="G469" s="8" t="s">
        <v>90</v>
      </c>
      <c r="H469" s="8" t="s">
        <v>73</v>
      </c>
      <c r="I469" s="8" t="s">
        <v>90</v>
      </c>
      <c r="J469" s="8" t="s">
        <v>279</v>
      </c>
      <c r="K469" s="8">
        <v>0</v>
      </c>
      <c r="L469" s="8">
        <v>24</v>
      </c>
      <c r="M469" s="8">
        <v>24</v>
      </c>
      <c r="N469" s="9">
        <v>12</v>
      </c>
      <c r="O469" s="9">
        <v>4</v>
      </c>
      <c r="P469" s="9">
        <v>0</v>
      </c>
      <c r="Q469" s="9">
        <v>0</v>
      </c>
      <c r="R469" s="9">
        <v>0</v>
      </c>
      <c r="S469" s="9">
        <v>0</v>
      </c>
      <c r="T469" s="8"/>
      <c r="U469" s="8" t="s">
        <v>301</v>
      </c>
      <c r="V469" s="8" t="s">
        <v>288</v>
      </c>
      <c r="W469" s="10">
        <v>24</v>
      </c>
      <c r="X469" s="11" t="s">
        <v>1564</v>
      </c>
      <c r="Y469" s="11" t="s">
        <v>1565</v>
      </c>
      <c r="Z469" s="11" t="s">
        <v>1566</v>
      </c>
    </row>
    <row r="470" ht="31" customHeight="1" spans="1:26">
      <c r="A470" s="8" t="s">
        <v>126</v>
      </c>
      <c r="B470" s="8" t="s">
        <v>99</v>
      </c>
      <c r="C470" s="8" t="s">
        <v>1567</v>
      </c>
      <c r="D470" s="8" t="s">
        <v>267</v>
      </c>
      <c r="E470" s="8" t="s">
        <v>286</v>
      </c>
      <c r="F470" s="8" t="s">
        <v>287</v>
      </c>
      <c r="G470" s="8" t="s">
        <v>90</v>
      </c>
      <c r="H470" s="8" t="s">
        <v>73</v>
      </c>
      <c r="I470" s="8" t="s">
        <v>90</v>
      </c>
      <c r="J470" s="8" t="s">
        <v>347</v>
      </c>
      <c r="K470" s="8">
        <v>0</v>
      </c>
      <c r="L470" s="8">
        <v>4</v>
      </c>
      <c r="M470" s="8">
        <v>4</v>
      </c>
      <c r="N470" s="9">
        <v>4</v>
      </c>
      <c r="O470" s="9">
        <v>4</v>
      </c>
      <c r="P470" s="9">
        <v>16</v>
      </c>
      <c r="Q470" s="9">
        <v>0</v>
      </c>
      <c r="R470" s="9">
        <v>0</v>
      </c>
      <c r="S470" s="9">
        <v>0</v>
      </c>
      <c r="T470" s="8"/>
      <c r="U470" s="8" t="s">
        <v>301</v>
      </c>
      <c r="V470" s="8" t="s">
        <v>288</v>
      </c>
      <c r="W470" s="10">
        <v>24</v>
      </c>
      <c r="X470" s="11" t="s">
        <v>1568</v>
      </c>
      <c r="Y470" s="11" t="s">
        <v>1569</v>
      </c>
      <c r="Z470" s="11" t="s">
        <v>1570</v>
      </c>
    </row>
    <row r="471" ht="31" customHeight="1" spans="1:26">
      <c r="A471" s="8" t="s">
        <v>126</v>
      </c>
      <c r="B471" s="8" t="s">
        <v>99</v>
      </c>
      <c r="C471" s="8" t="s">
        <v>1571</v>
      </c>
      <c r="D471" s="8" t="s">
        <v>267</v>
      </c>
      <c r="E471" s="8" t="s">
        <v>268</v>
      </c>
      <c r="F471" s="8" t="s">
        <v>269</v>
      </c>
      <c r="G471" s="8" t="s">
        <v>90</v>
      </c>
      <c r="H471" s="8" t="s">
        <v>73</v>
      </c>
      <c r="I471" s="8" t="s">
        <v>90</v>
      </c>
      <c r="J471" s="8" t="s">
        <v>270</v>
      </c>
      <c r="K471" s="8">
        <v>4</v>
      </c>
      <c r="L471" s="8">
        <v>0</v>
      </c>
      <c r="M471" s="8">
        <v>4</v>
      </c>
      <c r="N471" s="9">
        <v>0</v>
      </c>
      <c r="O471" s="9">
        <v>8</v>
      </c>
      <c r="P471" s="9">
        <v>4</v>
      </c>
      <c r="Q471" s="9">
        <v>0</v>
      </c>
      <c r="R471" s="9">
        <v>0</v>
      </c>
      <c r="S471" s="9">
        <v>0</v>
      </c>
      <c r="T471" s="8"/>
      <c r="U471" s="8" t="s">
        <v>301</v>
      </c>
      <c r="V471" s="8" t="s">
        <v>288</v>
      </c>
      <c r="W471" s="10">
        <v>24</v>
      </c>
      <c r="X471" s="11" t="s">
        <v>1572</v>
      </c>
      <c r="Y471" s="11" t="s">
        <v>1573</v>
      </c>
      <c r="Z471" s="11" t="s">
        <v>1574</v>
      </c>
    </row>
    <row r="472" ht="31" customHeight="1" spans="1:26">
      <c r="A472" s="8" t="s">
        <v>126</v>
      </c>
      <c r="B472" s="8" t="s">
        <v>99</v>
      </c>
      <c r="C472" s="8" t="s">
        <v>1575</v>
      </c>
      <c r="D472" s="8" t="s">
        <v>267</v>
      </c>
      <c r="E472" s="8" t="s">
        <v>277</v>
      </c>
      <c r="F472" s="8" t="s">
        <v>278</v>
      </c>
      <c r="G472" s="8" t="s">
        <v>90</v>
      </c>
      <c r="H472" s="8" t="s">
        <v>73</v>
      </c>
      <c r="I472" s="8" t="s">
        <v>90</v>
      </c>
      <c r="J472" s="8" t="s">
        <v>279</v>
      </c>
      <c r="K472" s="8">
        <v>0</v>
      </c>
      <c r="L472" s="8">
        <v>8</v>
      </c>
      <c r="M472" s="8">
        <v>8</v>
      </c>
      <c r="N472" s="9">
        <v>0</v>
      </c>
      <c r="O472" s="9">
        <v>0</v>
      </c>
      <c r="P472" s="9">
        <v>0</v>
      </c>
      <c r="Q472" s="9">
        <v>0</v>
      </c>
      <c r="R472" s="9">
        <v>0</v>
      </c>
      <c r="S472" s="9">
        <v>0</v>
      </c>
      <c r="T472" s="8"/>
      <c r="U472" s="8" t="s">
        <v>301</v>
      </c>
      <c r="V472" s="8" t="s">
        <v>288</v>
      </c>
      <c r="W472" s="10">
        <v>24</v>
      </c>
      <c r="X472" s="11" t="s">
        <v>1576</v>
      </c>
      <c r="Y472" s="11" t="s">
        <v>1577</v>
      </c>
      <c r="Z472" s="11" t="s">
        <v>1578</v>
      </c>
    </row>
    <row r="473" ht="31" customHeight="1" spans="1:26">
      <c r="A473" s="8" t="s">
        <v>126</v>
      </c>
      <c r="B473" s="8" t="s">
        <v>99</v>
      </c>
      <c r="C473" s="8" t="s">
        <v>1579</v>
      </c>
      <c r="D473" s="8" t="s">
        <v>267</v>
      </c>
      <c r="E473" s="8" t="s">
        <v>277</v>
      </c>
      <c r="F473" s="8" t="s">
        <v>278</v>
      </c>
      <c r="G473" s="8" t="s">
        <v>90</v>
      </c>
      <c r="H473" s="8" t="s">
        <v>73</v>
      </c>
      <c r="I473" s="8" t="s">
        <v>90</v>
      </c>
      <c r="J473" s="8" t="s">
        <v>279</v>
      </c>
      <c r="K473" s="8">
        <v>0</v>
      </c>
      <c r="L473" s="8">
        <v>8</v>
      </c>
      <c r="M473" s="8">
        <v>8</v>
      </c>
      <c r="N473" s="9">
        <v>0</v>
      </c>
      <c r="O473" s="9">
        <v>0</v>
      </c>
      <c r="P473" s="9">
        <v>0</v>
      </c>
      <c r="Q473" s="9">
        <v>0</v>
      </c>
      <c r="R473" s="9">
        <v>0</v>
      </c>
      <c r="S473" s="9">
        <v>0</v>
      </c>
      <c r="T473" s="8"/>
      <c r="U473" s="8" t="s">
        <v>301</v>
      </c>
      <c r="V473" s="8" t="s">
        <v>288</v>
      </c>
      <c r="W473" s="10">
        <v>12</v>
      </c>
      <c r="X473" s="11" t="s">
        <v>1580</v>
      </c>
      <c r="Y473" s="11" t="s">
        <v>1581</v>
      </c>
      <c r="Z473" s="11" t="s">
        <v>1558</v>
      </c>
    </row>
    <row r="474" ht="23.85" customHeight="1" spans="1:26">
      <c r="A474" s="8" t="s">
        <v>126</v>
      </c>
      <c r="B474" s="8" t="s">
        <v>99</v>
      </c>
      <c r="C474" s="8" t="s">
        <v>1582</v>
      </c>
      <c r="D474" s="8" t="s">
        <v>267</v>
      </c>
      <c r="E474" s="8" t="s">
        <v>277</v>
      </c>
      <c r="F474" s="8" t="s">
        <v>278</v>
      </c>
      <c r="G474" s="8" t="s">
        <v>90</v>
      </c>
      <c r="H474" s="8" t="s">
        <v>73</v>
      </c>
      <c r="I474" s="8" t="s">
        <v>90</v>
      </c>
      <c r="J474" s="8" t="s">
        <v>279</v>
      </c>
      <c r="K474" s="8">
        <v>0</v>
      </c>
      <c r="L474" s="8">
        <v>8</v>
      </c>
      <c r="M474" s="8">
        <v>8</v>
      </c>
      <c r="N474" s="9">
        <v>0</v>
      </c>
      <c r="O474" s="9">
        <v>0</v>
      </c>
      <c r="P474" s="9">
        <v>0</v>
      </c>
      <c r="Q474" s="9">
        <v>0</v>
      </c>
      <c r="R474" s="9">
        <v>0</v>
      </c>
      <c r="S474" s="9">
        <v>0</v>
      </c>
      <c r="T474" s="8"/>
      <c r="U474" s="8" t="s">
        <v>301</v>
      </c>
      <c r="V474" s="8" t="s">
        <v>288</v>
      </c>
      <c r="W474" s="10">
        <v>12</v>
      </c>
      <c r="X474" s="11" t="s">
        <v>1583</v>
      </c>
      <c r="Y474" s="11" t="s">
        <v>1584</v>
      </c>
      <c r="Z474" s="11" t="s">
        <v>1585</v>
      </c>
    </row>
    <row r="475" ht="23.85" customHeight="1" spans="1:26">
      <c r="A475" s="8" t="s">
        <v>126</v>
      </c>
      <c r="B475" s="8" t="s">
        <v>99</v>
      </c>
      <c r="C475" s="8" t="s">
        <v>1586</v>
      </c>
      <c r="D475" s="8" t="s">
        <v>267</v>
      </c>
      <c r="E475" s="8" t="s">
        <v>277</v>
      </c>
      <c r="F475" s="8" t="s">
        <v>278</v>
      </c>
      <c r="G475" s="8" t="s">
        <v>90</v>
      </c>
      <c r="H475" s="8" t="s">
        <v>73</v>
      </c>
      <c r="I475" s="8" t="s">
        <v>90</v>
      </c>
      <c r="J475" s="8" t="s">
        <v>279</v>
      </c>
      <c r="K475" s="8">
        <v>0</v>
      </c>
      <c r="L475" s="8">
        <v>8</v>
      </c>
      <c r="M475" s="8">
        <v>8</v>
      </c>
      <c r="N475" s="9">
        <v>0</v>
      </c>
      <c r="O475" s="9">
        <v>0</v>
      </c>
      <c r="P475" s="9">
        <v>0</v>
      </c>
      <c r="Q475" s="9">
        <v>0</v>
      </c>
      <c r="R475" s="9">
        <v>0</v>
      </c>
      <c r="S475" s="9">
        <v>0</v>
      </c>
      <c r="T475" s="8"/>
      <c r="U475" s="8" t="s">
        <v>301</v>
      </c>
      <c r="V475" s="8" t="s">
        <v>288</v>
      </c>
      <c r="W475" s="10">
        <v>12</v>
      </c>
      <c r="X475" s="11" t="s">
        <v>1587</v>
      </c>
      <c r="Y475" s="11" t="s">
        <v>1588</v>
      </c>
      <c r="Z475" s="11" t="s">
        <v>1589</v>
      </c>
    </row>
    <row r="476" ht="23.85" customHeight="1" spans="1:26">
      <c r="A476" s="8" t="s">
        <v>126</v>
      </c>
      <c r="B476" s="8" t="s">
        <v>99</v>
      </c>
      <c r="C476" s="8" t="s">
        <v>1590</v>
      </c>
      <c r="D476" s="8" t="s">
        <v>267</v>
      </c>
      <c r="E476" s="8" t="s">
        <v>277</v>
      </c>
      <c r="F476" s="8" t="s">
        <v>278</v>
      </c>
      <c r="G476" s="8" t="s">
        <v>90</v>
      </c>
      <c r="H476" s="8" t="s">
        <v>73</v>
      </c>
      <c r="I476" s="8" t="s">
        <v>90</v>
      </c>
      <c r="J476" s="8" t="s">
        <v>279</v>
      </c>
      <c r="K476" s="8">
        <v>0</v>
      </c>
      <c r="L476" s="8">
        <v>8</v>
      </c>
      <c r="M476" s="8">
        <v>8</v>
      </c>
      <c r="N476" s="9">
        <v>0</v>
      </c>
      <c r="O476" s="9">
        <v>0</v>
      </c>
      <c r="P476" s="9">
        <v>0</v>
      </c>
      <c r="Q476" s="9">
        <v>0</v>
      </c>
      <c r="R476" s="9">
        <v>0</v>
      </c>
      <c r="S476" s="9">
        <v>0</v>
      </c>
      <c r="T476" s="8"/>
      <c r="U476" s="8" t="s">
        <v>301</v>
      </c>
      <c r="V476" s="8" t="s">
        <v>288</v>
      </c>
      <c r="W476" s="10">
        <v>12</v>
      </c>
      <c r="X476" s="11" t="s">
        <v>1591</v>
      </c>
      <c r="Y476" s="11" t="s">
        <v>1592</v>
      </c>
      <c r="Z476" s="11" t="s">
        <v>1558</v>
      </c>
    </row>
    <row r="477" ht="13.5" customHeight="1" spans="1:26">
      <c r="A477" s="8" t="s">
        <v>126</v>
      </c>
      <c r="B477" s="8" t="s">
        <v>99</v>
      </c>
      <c r="C477" s="8" t="s">
        <v>1593</v>
      </c>
      <c r="D477" s="8" t="s">
        <v>267</v>
      </c>
      <c r="E477" s="8" t="s">
        <v>277</v>
      </c>
      <c r="F477" s="8" t="s">
        <v>278</v>
      </c>
      <c r="G477" s="8" t="s">
        <v>90</v>
      </c>
      <c r="H477" s="8" t="s">
        <v>73</v>
      </c>
      <c r="I477" s="8" t="s">
        <v>90</v>
      </c>
      <c r="J477" s="8" t="s">
        <v>279</v>
      </c>
      <c r="K477" s="8">
        <v>0</v>
      </c>
      <c r="L477" s="8">
        <v>8</v>
      </c>
      <c r="M477" s="8">
        <v>8</v>
      </c>
      <c r="N477" s="9">
        <v>0</v>
      </c>
      <c r="O477" s="9">
        <v>0</v>
      </c>
      <c r="P477" s="9">
        <v>0</v>
      </c>
      <c r="Q477" s="9">
        <v>0</v>
      </c>
      <c r="R477" s="9">
        <v>0</v>
      </c>
      <c r="S477" s="9">
        <v>0</v>
      </c>
      <c r="T477" s="8"/>
      <c r="U477" s="8" t="s">
        <v>301</v>
      </c>
      <c r="V477" s="8" t="s">
        <v>288</v>
      </c>
      <c r="W477" s="10">
        <v>12</v>
      </c>
      <c r="X477" s="11" t="s">
        <v>1594</v>
      </c>
      <c r="Y477" s="11" t="s">
        <v>1577</v>
      </c>
      <c r="Z477" s="11" t="s">
        <v>1595</v>
      </c>
    </row>
    <row r="478" ht="23.85" customHeight="1" spans="1:26">
      <c r="A478" s="8" t="s">
        <v>126</v>
      </c>
      <c r="B478" s="8" t="s">
        <v>99</v>
      </c>
      <c r="C478" s="8" t="s">
        <v>1596</v>
      </c>
      <c r="D478" s="8" t="s">
        <v>267</v>
      </c>
      <c r="E478" s="8" t="s">
        <v>277</v>
      </c>
      <c r="F478" s="8" t="s">
        <v>278</v>
      </c>
      <c r="G478" s="8" t="s">
        <v>90</v>
      </c>
      <c r="H478" s="8" t="s">
        <v>73</v>
      </c>
      <c r="I478" s="8" t="s">
        <v>90</v>
      </c>
      <c r="J478" s="8" t="s">
        <v>279</v>
      </c>
      <c r="K478" s="8">
        <v>0</v>
      </c>
      <c r="L478" s="8">
        <v>8</v>
      </c>
      <c r="M478" s="8">
        <v>8</v>
      </c>
      <c r="N478" s="9">
        <v>0</v>
      </c>
      <c r="O478" s="9">
        <v>0</v>
      </c>
      <c r="P478" s="9">
        <v>0</v>
      </c>
      <c r="Q478" s="9">
        <v>0</v>
      </c>
      <c r="R478" s="9">
        <v>0</v>
      </c>
      <c r="S478" s="9">
        <v>0</v>
      </c>
      <c r="T478" s="8"/>
      <c r="U478" s="8" t="s">
        <v>301</v>
      </c>
      <c r="V478" s="8" t="s">
        <v>288</v>
      </c>
      <c r="W478" s="10">
        <v>12</v>
      </c>
      <c r="X478" s="11" t="s">
        <v>1597</v>
      </c>
      <c r="Y478" s="11" t="s">
        <v>1584</v>
      </c>
      <c r="Z478" s="11" t="s">
        <v>1585</v>
      </c>
    </row>
    <row r="479" ht="23.85" customHeight="1" spans="1:26">
      <c r="A479" s="8" t="s">
        <v>126</v>
      </c>
      <c r="B479" s="8" t="s">
        <v>99</v>
      </c>
      <c r="C479" s="8" t="s">
        <v>1598</v>
      </c>
      <c r="D479" s="8" t="s">
        <v>267</v>
      </c>
      <c r="E479" s="8" t="s">
        <v>277</v>
      </c>
      <c r="F479" s="8" t="s">
        <v>278</v>
      </c>
      <c r="G479" s="8" t="s">
        <v>90</v>
      </c>
      <c r="H479" s="8" t="s">
        <v>73</v>
      </c>
      <c r="I479" s="8" t="s">
        <v>90</v>
      </c>
      <c r="J479" s="8" t="s">
        <v>279</v>
      </c>
      <c r="K479" s="8">
        <v>0</v>
      </c>
      <c r="L479" s="8">
        <v>8</v>
      </c>
      <c r="M479" s="8">
        <v>8</v>
      </c>
      <c r="N479" s="9">
        <v>0</v>
      </c>
      <c r="O479" s="9">
        <v>0</v>
      </c>
      <c r="P479" s="9">
        <v>0</v>
      </c>
      <c r="Q479" s="9">
        <v>0</v>
      </c>
      <c r="R479" s="9">
        <v>0</v>
      </c>
      <c r="S479" s="9">
        <v>0</v>
      </c>
      <c r="T479" s="8"/>
      <c r="U479" s="8" t="s">
        <v>301</v>
      </c>
      <c r="V479" s="8" t="s">
        <v>288</v>
      </c>
      <c r="W479" s="10">
        <v>12</v>
      </c>
      <c r="X479" s="11" t="s">
        <v>1599</v>
      </c>
      <c r="Y479" s="11" t="s">
        <v>1588</v>
      </c>
      <c r="Z479" s="11" t="s">
        <v>1589</v>
      </c>
    </row>
    <row r="480" ht="13.5" customHeight="1" spans="1:26">
      <c r="A480" s="8" t="s">
        <v>126</v>
      </c>
      <c r="B480" s="8" t="s">
        <v>99</v>
      </c>
      <c r="C480" s="8" t="s">
        <v>1600</v>
      </c>
      <c r="D480" s="8" t="s">
        <v>267</v>
      </c>
      <c r="E480" s="8" t="s">
        <v>277</v>
      </c>
      <c r="F480" s="8" t="s">
        <v>278</v>
      </c>
      <c r="G480" s="8" t="s">
        <v>90</v>
      </c>
      <c r="H480" s="8" t="s">
        <v>73</v>
      </c>
      <c r="I480" s="8" t="s">
        <v>90</v>
      </c>
      <c r="J480" s="8" t="s">
        <v>279</v>
      </c>
      <c r="K480" s="8">
        <v>0</v>
      </c>
      <c r="L480" s="8">
        <v>8</v>
      </c>
      <c r="M480" s="8">
        <v>8</v>
      </c>
      <c r="N480" s="9">
        <v>0</v>
      </c>
      <c r="O480" s="9">
        <v>0</v>
      </c>
      <c r="P480" s="9">
        <v>0</v>
      </c>
      <c r="Q480" s="9">
        <v>0</v>
      </c>
      <c r="R480" s="9">
        <v>0</v>
      </c>
      <c r="S480" s="9">
        <v>0</v>
      </c>
      <c r="T480" s="8"/>
      <c r="U480" s="8" t="s">
        <v>301</v>
      </c>
      <c r="V480" s="8" t="s">
        <v>288</v>
      </c>
      <c r="W480" s="10">
        <v>12</v>
      </c>
      <c r="X480" s="11" t="s">
        <v>1601</v>
      </c>
      <c r="Y480" s="11" t="s">
        <v>1581</v>
      </c>
      <c r="Z480" s="11" t="s">
        <v>1558</v>
      </c>
    </row>
    <row r="481" ht="13.5" customHeight="1" spans="1:26">
      <c r="A481" s="8" t="s">
        <v>126</v>
      </c>
      <c r="B481" s="8" t="s">
        <v>99</v>
      </c>
      <c r="C481" s="8" t="s">
        <v>1602</v>
      </c>
      <c r="D481" s="8" t="s">
        <v>285</v>
      </c>
      <c r="E481" s="8" t="s">
        <v>286</v>
      </c>
      <c r="F481" s="8" t="s">
        <v>1603</v>
      </c>
      <c r="G481" s="8" t="s">
        <v>73</v>
      </c>
      <c r="H481" s="8" t="s">
        <v>73</v>
      </c>
      <c r="I481" s="8" t="s">
        <v>73</v>
      </c>
      <c r="J481" s="8" t="s">
        <v>279</v>
      </c>
      <c r="K481" s="8">
        <v>0</v>
      </c>
      <c r="L481" s="8">
        <v>0</v>
      </c>
      <c r="M481" s="8">
        <v>0</v>
      </c>
      <c r="N481" s="9"/>
      <c r="O481" s="9"/>
      <c r="P481" s="9"/>
      <c r="Q481" s="9"/>
      <c r="R481" s="9"/>
      <c r="S481" s="9"/>
      <c r="T481" s="8" t="s">
        <v>1604</v>
      </c>
      <c r="U481" s="8" t="s">
        <v>1603</v>
      </c>
      <c r="V481" s="8">
        <v>0</v>
      </c>
      <c r="W481" s="10" t="s">
        <v>1605</v>
      </c>
      <c r="X481" s="11" t="s">
        <v>1606</v>
      </c>
      <c r="Y481" s="11" t="s">
        <v>1607</v>
      </c>
      <c r="Z481" s="11"/>
    </row>
    <row r="482" ht="13.5" customHeight="1" spans="1:26">
      <c r="A482" s="8" t="s">
        <v>148</v>
      </c>
      <c r="B482" s="8" t="s">
        <v>99</v>
      </c>
      <c r="C482" s="8" t="s">
        <v>1608</v>
      </c>
      <c r="D482" s="8" t="s">
        <v>267</v>
      </c>
      <c r="E482" s="8" t="s">
        <v>268</v>
      </c>
      <c r="F482" s="8" t="s">
        <v>269</v>
      </c>
      <c r="G482" s="8" t="s">
        <v>90</v>
      </c>
      <c r="H482" s="8" t="s">
        <v>90</v>
      </c>
      <c r="I482" s="8" t="s">
        <v>90</v>
      </c>
      <c r="J482" s="8" t="s">
        <v>347</v>
      </c>
      <c r="K482" s="8">
        <v>4</v>
      </c>
      <c r="L482" s="8">
        <v>8</v>
      </c>
      <c r="M482" s="8">
        <v>12</v>
      </c>
      <c r="N482" s="9">
        <v>288</v>
      </c>
      <c r="O482" s="9">
        <v>264</v>
      </c>
      <c r="P482" s="9">
        <v>204</v>
      </c>
      <c r="Q482" s="9">
        <v>168</v>
      </c>
      <c r="R482" s="9">
        <v>264</v>
      </c>
      <c r="S482" s="9"/>
      <c r="T482" s="8"/>
      <c r="U482" s="8" t="s">
        <v>272</v>
      </c>
      <c r="V482" s="8" t="s">
        <v>507</v>
      </c>
      <c r="W482" s="10">
        <v>500</v>
      </c>
      <c r="X482" s="11" t="s">
        <v>1609</v>
      </c>
      <c r="Y482" s="11" t="s">
        <v>152</v>
      </c>
      <c r="Z482" s="11" t="s">
        <v>153</v>
      </c>
    </row>
    <row r="483" ht="13.5" customHeight="1" spans="1:26">
      <c r="A483" s="8" t="s">
        <v>148</v>
      </c>
      <c r="B483" s="8" t="s">
        <v>99</v>
      </c>
      <c r="C483" s="8" t="s">
        <v>1610</v>
      </c>
      <c r="D483" s="8" t="s">
        <v>267</v>
      </c>
      <c r="E483" s="8" t="s">
        <v>286</v>
      </c>
      <c r="F483" s="8" t="s">
        <v>287</v>
      </c>
      <c r="G483" s="8" t="s">
        <v>90</v>
      </c>
      <c r="H483" s="8" t="s">
        <v>90</v>
      </c>
      <c r="I483" s="8" t="s">
        <v>90</v>
      </c>
      <c r="J483" s="8" t="s">
        <v>279</v>
      </c>
      <c r="K483" s="8">
        <v>0</v>
      </c>
      <c r="L483" s="8">
        <v>12</v>
      </c>
      <c r="M483" s="8">
        <v>12</v>
      </c>
      <c r="N483" s="9">
        <v>32</v>
      </c>
      <c r="O483" s="9">
        <v>32</v>
      </c>
      <c r="P483" s="9">
        <v>16</v>
      </c>
      <c r="Q483" s="9">
        <v>0</v>
      </c>
      <c r="R483" s="9">
        <v>20</v>
      </c>
      <c r="S483" s="9"/>
      <c r="T483" s="8"/>
      <c r="U483" s="8" t="s">
        <v>288</v>
      </c>
      <c r="V483" s="8" t="s">
        <v>280</v>
      </c>
      <c r="W483" s="10">
        <v>72</v>
      </c>
      <c r="X483" s="11" t="s">
        <v>1611</v>
      </c>
      <c r="Y483" s="11" t="s">
        <v>1612</v>
      </c>
      <c r="Z483" s="11" t="s">
        <v>1613</v>
      </c>
    </row>
    <row r="484" ht="23.85" customHeight="1" spans="1:26">
      <c r="A484" s="8" t="s">
        <v>148</v>
      </c>
      <c r="B484" s="8" t="s">
        <v>99</v>
      </c>
      <c r="C484" s="8" t="s">
        <v>1614</v>
      </c>
      <c r="D484" s="8" t="s">
        <v>267</v>
      </c>
      <c r="E484" s="8" t="s">
        <v>277</v>
      </c>
      <c r="F484" s="8" t="s">
        <v>278</v>
      </c>
      <c r="G484" s="8" t="s">
        <v>90</v>
      </c>
      <c r="H484" s="8" t="s">
        <v>73</v>
      </c>
      <c r="I484" s="8" t="s">
        <v>90</v>
      </c>
      <c r="J484" s="8" t="s">
        <v>279</v>
      </c>
      <c r="K484" s="8">
        <v>0</v>
      </c>
      <c r="L484" s="8">
        <v>8</v>
      </c>
      <c r="M484" s="8">
        <v>8</v>
      </c>
      <c r="N484" s="9">
        <v>0</v>
      </c>
      <c r="O484" s="9">
        <v>0</v>
      </c>
      <c r="P484" s="9">
        <v>0</v>
      </c>
      <c r="Q484" s="9">
        <v>0</v>
      </c>
      <c r="R484" s="9">
        <v>0</v>
      </c>
      <c r="S484" s="9"/>
      <c r="T484" s="8"/>
      <c r="U484" s="8" t="s">
        <v>301</v>
      </c>
      <c r="V484" s="8" t="s">
        <v>288</v>
      </c>
      <c r="W484" s="10">
        <v>12</v>
      </c>
      <c r="X484" s="11" t="s">
        <v>1615</v>
      </c>
      <c r="Y484" s="11" t="s">
        <v>1616</v>
      </c>
      <c r="Z484" s="11" t="s">
        <v>1418</v>
      </c>
    </row>
    <row r="485" ht="13.5" customHeight="1" spans="1:26">
      <c r="A485" s="8" t="s">
        <v>148</v>
      </c>
      <c r="B485" s="8" t="s">
        <v>99</v>
      </c>
      <c r="C485" s="8" t="s">
        <v>1617</v>
      </c>
      <c r="D485" s="8" t="s">
        <v>267</v>
      </c>
      <c r="E485" s="8" t="s">
        <v>277</v>
      </c>
      <c r="F485" s="8" t="s">
        <v>278</v>
      </c>
      <c r="G485" s="8" t="s">
        <v>90</v>
      </c>
      <c r="H485" s="8" t="s">
        <v>73</v>
      </c>
      <c r="I485" s="8" t="s">
        <v>90</v>
      </c>
      <c r="J485" s="8" t="s">
        <v>279</v>
      </c>
      <c r="K485" s="8">
        <v>0</v>
      </c>
      <c r="L485" s="8">
        <v>8</v>
      </c>
      <c r="M485" s="8">
        <v>8</v>
      </c>
      <c r="N485" s="9">
        <v>4</v>
      </c>
      <c r="O485" s="9">
        <v>0</v>
      </c>
      <c r="P485" s="9">
        <v>4</v>
      </c>
      <c r="Q485" s="9">
        <v>0</v>
      </c>
      <c r="R485" s="9">
        <v>0</v>
      </c>
      <c r="S485" s="9"/>
      <c r="T485" s="8"/>
      <c r="U485" s="8" t="s">
        <v>301</v>
      </c>
      <c r="V485" s="8" t="s">
        <v>288</v>
      </c>
      <c r="W485" s="10">
        <v>12</v>
      </c>
      <c r="X485" s="11" t="s">
        <v>1413</v>
      </c>
      <c r="Y485" s="11" t="s">
        <v>1414</v>
      </c>
      <c r="Z485" s="11" t="s">
        <v>1404</v>
      </c>
    </row>
    <row r="486" ht="13.5" customHeight="1" spans="1:26">
      <c r="A486" s="8" t="s">
        <v>148</v>
      </c>
      <c r="B486" s="8" t="s">
        <v>99</v>
      </c>
      <c r="C486" s="8" t="s">
        <v>1618</v>
      </c>
      <c r="D486" s="8" t="s">
        <v>267</v>
      </c>
      <c r="E486" s="8" t="s">
        <v>277</v>
      </c>
      <c r="F486" s="8" t="s">
        <v>278</v>
      </c>
      <c r="G486" s="8" t="s">
        <v>73</v>
      </c>
      <c r="H486" s="8" t="s">
        <v>73</v>
      </c>
      <c r="I486" s="8" t="s">
        <v>73</v>
      </c>
      <c r="J486" s="8" t="s">
        <v>279</v>
      </c>
      <c r="K486" s="8">
        <v>0</v>
      </c>
      <c r="L486" s="8">
        <v>12</v>
      </c>
      <c r="M486" s="8">
        <v>12</v>
      </c>
      <c r="N486" s="9">
        <v>0</v>
      </c>
      <c r="O486" s="9">
        <v>0</v>
      </c>
      <c r="P486" s="9">
        <v>0</v>
      </c>
      <c r="Q486" s="9">
        <v>0</v>
      </c>
      <c r="R486" s="9">
        <v>0</v>
      </c>
      <c r="S486" s="9"/>
      <c r="T486" s="8"/>
      <c r="U486" s="8" t="s">
        <v>301</v>
      </c>
      <c r="V486" s="8" t="s">
        <v>288</v>
      </c>
      <c r="W486" s="10">
        <v>12</v>
      </c>
      <c r="X486" s="11" t="s">
        <v>1615</v>
      </c>
      <c r="Y486" s="11" t="s">
        <v>1619</v>
      </c>
      <c r="Z486" s="11" t="s">
        <v>1418</v>
      </c>
    </row>
    <row r="487" ht="13.5" customHeight="1" spans="1:26">
      <c r="A487" s="8" t="s">
        <v>148</v>
      </c>
      <c r="B487" s="8" t="s">
        <v>99</v>
      </c>
      <c r="C487" s="8" t="s">
        <v>1620</v>
      </c>
      <c r="D487" s="8" t="s">
        <v>267</v>
      </c>
      <c r="E487" s="8" t="s">
        <v>277</v>
      </c>
      <c r="F487" s="8" t="s">
        <v>278</v>
      </c>
      <c r="G487" s="8" t="s">
        <v>73</v>
      </c>
      <c r="H487" s="8" t="s">
        <v>73</v>
      </c>
      <c r="I487" s="8" t="s">
        <v>90</v>
      </c>
      <c r="J487" s="8" t="s">
        <v>279</v>
      </c>
      <c r="K487" s="8">
        <v>0</v>
      </c>
      <c r="L487" s="8">
        <v>8</v>
      </c>
      <c r="M487" s="8">
        <v>8</v>
      </c>
      <c r="N487" s="9">
        <v>0</v>
      </c>
      <c r="O487" s="9">
        <v>0</v>
      </c>
      <c r="P487" s="9">
        <v>0</v>
      </c>
      <c r="Q487" s="9">
        <v>0</v>
      </c>
      <c r="R487" s="9">
        <v>0</v>
      </c>
      <c r="S487" s="9"/>
      <c r="T487" s="8"/>
      <c r="U487" s="8" t="s">
        <v>301</v>
      </c>
      <c r="V487" s="8" t="s">
        <v>288</v>
      </c>
      <c r="W487" s="10">
        <v>12</v>
      </c>
      <c r="X487" s="11" t="s">
        <v>1429</v>
      </c>
      <c r="Y487" s="11" t="s">
        <v>1621</v>
      </c>
      <c r="Z487" s="11" t="s">
        <v>1418</v>
      </c>
    </row>
    <row r="488" ht="23.85" customHeight="1" spans="1:26">
      <c r="A488" s="8" t="s">
        <v>148</v>
      </c>
      <c r="B488" s="8" t="s">
        <v>99</v>
      </c>
      <c r="C488" s="8" t="s">
        <v>1622</v>
      </c>
      <c r="D488" s="8" t="s">
        <v>285</v>
      </c>
      <c r="E488" s="8" t="s">
        <v>286</v>
      </c>
      <c r="F488" s="8" t="s">
        <v>287</v>
      </c>
      <c r="G488" s="8" t="s">
        <v>73</v>
      </c>
      <c r="H488" s="8" t="s">
        <v>73</v>
      </c>
      <c r="I488" s="8" t="s">
        <v>90</v>
      </c>
      <c r="J488" s="8" t="s">
        <v>279</v>
      </c>
      <c r="K488" s="8">
        <v>0</v>
      </c>
      <c r="L488" s="8">
        <v>16</v>
      </c>
      <c r="M488" s="8">
        <v>16</v>
      </c>
      <c r="N488" s="9">
        <v>0</v>
      </c>
      <c r="O488" s="9">
        <v>0</v>
      </c>
      <c r="P488" s="9">
        <v>0</v>
      </c>
      <c r="Q488" s="9">
        <v>0</v>
      </c>
      <c r="R488" s="9">
        <v>0</v>
      </c>
      <c r="S488" s="9"/>
      <c r="T488" s="8"/>
      <c r="U488" s="8" t="s">
        <v>301</v>
      </c>
      <c r="V488" s="8" t="s">
        <v>288</v>
      </c>
      <c r="W488" s="10">
        <v>12</v>
      </c>
      <c r="X488" s="11" t="s">
        <v>1437</v>
      </c>
      <c r="Y488" s="11" t="s">
        <v>1623</v>
      </c>
      <c r="Z488" s="11" t="s">
        <v>1418</v>
      </c>
    </row>
    <row r="489" ht="140" customHeight="1" spans="1:26">
      <c r="A489" s="8" t="s">
        <v>148</v>
      </c>
      <c r="B489" s="8" t="s">
        <v>99</v>
      </c>
      <c r="C489" s="8" t="s">
        <v>1624</v>
      </c>
      <c r="D489" s="8" t="s">
        <v>285</v>
      </c>
      <c r="E489" s="8" t="s">
        <v>286</v>
      </c>
      <c r="F489" s="8" t="s">
        <v>287</v>
      </c>
      <c r="G489" s="8" t="s">
        <v>73</v>
      </c>
      <c r="H489" s="8" t="s">
        <v>73</v>
      </c>
      <c r="I489" s="8" t="s">
        <v>90</v>
      </c>
      <c r="J489" s="8" t="s">
        <v>279</v>
      </c>
      <c r="K489" s="8">
        <v>0</v>
      </c>
      <c r="L489" s="8">
        <v>16</v>
      </c>
      <c r="M489" s="8">
        <v>16</v>
      </c>
      <c r="N489" s="9">
        <v>0</v>
      </c>
      <c r="O489" s="9">
        <v>0</v>
      </c>
      <c r="P489" s="9">
        <v>0</v>
      </c>
      <c r="Q489" s="9">
        <v>0</v>
      </c>
      <c r="R489" s="9">
        <v>0</v>
      </c>
      <c r="S489" s="9"/>
      <c r="T489" s="8"/>
      <c r="U489" s="8" t="s">
        <v>301</v>
      </c>
      <c r="V489" s="8" t="s">
        <v>288</v>
      </c>
      <c r="W489" s="10">
        <v>12</v>
      </c>
      <c r="X489" s="11" t="s">
        <v>1437</v>
      </c>
      <c r="Y489" s="11" t="s">
        <v>1623</v>
      </c>
      <c r="Z489" s="11" t="s">
        <v>1418</v>
      </c>
    </row>
    <row r="490" ht="122" customHeight="1" spans="1:26">
      <c r="A490" s="8" t="s">
        <v>148</v>
      </c>
      <c r="B490" s="8" t="s">
        <v>99</v>
      </c>
      <c r="C490" s="8" t="s">
        <v>1625</v>
      </c>
      <c r="D490" s="8" t="s">
        <v>267</v>
      </c>
      <c r="E490" s="8" t="s">
        <v>277</v>
      </c>
      <c r="F490" s="8" t="s">
        <v>278</v>
      </c>
      <c r="G490" s="8" t="s">
        <v>90</v>
      </c>
      <c r="H490" s="8" t="s">
        <v>73</v>
      </c>
      <c r="I490" s="8" t="s">
        <v>73</v>
      </c>
      <c r="J490" s="8" t="s">
        <v>279</v>
      </c>
      <c r="K490" s="8">
        <v>0</v>
      </c>
      <c r="L490" s="8">
        <v>4</v>
      </c>
      <c r="M490" s="8">
        <v>4</v>
      </c>
      <c r="N490" s="9">
        <v>4</v>
      </c>
      <c r="O490" s="9">
        <v>0</v>
      </c>
      <c r="P490" s="9">
        <v>0</v>
      </c>
      <c r="Q490" s="9">
        <v>0</v>
      </c>
      <c r="R490" s="9">
        <v>0</v>
      </c>
      <c r="S490" s="9"/>
      <c r="T490" s="8"/>
      <c r="U490" s="8"/>
      <c r="V490" s="8" t="s">
        <v>288</v>
      </c>
      <c r="W490" s="10">
        <v>12</v>
      </c>
      <c r="X490" s="11" t="s">
        <v>1626</v>
      </c>
      <c r="Y490" s="11" t="s">
        <v>1627</v>
      </c>
      <c r="Z490" s="11" t="s">
        <v>1418</v>
      </c>
    </row>
    <row r="491" ht="95" customHeight="1" spans="1:26">
      <c r="A491" s="8" t="s">
        <v>197</v>
      </c>
      <c r="B491" s="8" t="s">
        <v>99</v>
      </c>
      <c r="C491" s="8" t="s">
        <v>1628</v>
      </c>
      <c r="D491" s="8" t="s">
        <v>267</v>
      </c>
      <c r="E491" s="8" t="s">
        <v>277</v>
      </c>
      <c r="F491" s="8" t="s">
        <v>278</v>
      </c>
      <c r="G491" s="8" t="s">
        <v>90</v>
      </c>
      <c r="H491" s="8" t="s">
        <v>73</v>
      </c>
      <c r="I491" s="8" t="s">
        <v>90</v>
      </c>
      <c r="J491" s="8" t="s">
        <v>279</v>
      </c>
      <c r="K491" s="8">
        <v>0</v>
      </c>
      <c r="L491" s="8">
        <v>12</v>
      </c>
      <c r="M491" s="8">
        <v>12</v>
      </c>
      <c r="N491" s="9">
        <v>24</v>
      </c>
      <c r="O491" s="9">
        <v>32</v>
      </c>
      <c r="P491" s="9">
        <v>40</v>
      </c>
      <c r="Q491" s="9">
        <v>24</v>
      </c>
      <c r="R491" s="9">
        <v>80</v>
      </c>
      <c r="S491" s="9"/>
      <c r="T491" s="8"/>
      <c r="U491" s="8" t="s">
        <v>271</v>
      </c>
      <c r="V491" s="8" t="s">
        <v>271</v>
      </c>
      <c r="W491" s="10">
        <v>80</v>
      </c>
      <c r="X491" s="11" t="s">
        <v>1629</v>
      </c>
      <c r="Y491" s="11" t="s">
        <v>1630</v>
      </c>
      <c r="Z491" s="11" t="s">
        <v>1631</v>
      </c>
    </row>
    <row r="492" ht="131" customHeight="1" spans="1:26">
      <c r="A492" s="8" t="s">
        <v>197</v>
      </c>
      <c r="B492" s="8" t="s">
        <v>99</v>
      </c>
      <c r="C492" s="8" t="s">
        <v>1632</v>
      </c>
      <c r="D492" s="8" t="s">
        <v>285</v>
      </c>
      <c r="E492" s="8" t="s">
        <v>286</v>
      </c>
      <c r="F492" s="8" t="s">
        <v>287</v>
      </c>
      <c r="G492" s="8" t="s">
        <v>90</v>
      </c>
      <c r="H492" s="8" t="s">
        <v>90</v>
      </c>
      <c r="I492" s="8" t="s">
        <v>90</v>
      </c>
      <c r="J492" s="8" t="s">
        <v>293</v>
      </c>
      <c r="K492" s="8">
        <v>8</v>
      </c>
      <c r="L492" s="8">
        <v>8</v>
      </c>
      <c r="M492" s="8">
        <v>16</v>
      </c>
      <c r="N492" s="9">
        <v>28</v>
      </c>
      <c r="O492" s="9">
        <v>56</v>
      </c>
      <c r="P492" s="9">
        <v>24</v>
      </c>
      <c r="Q492" s="9">
        <v>36</v>
      </c>
      <c r="R492" s="9">
        <v>36</v>
      </c>
      <c r="S492" s="9"/>
      <c r="T492" s="8"/>
      <c r="U492" s="8" t="s">
        <v>280</v>
      </c>
      <c r="V492" s="8" t="s">
        <v>271</v>
      </c>
      <c r="W492" s="10">
        <v>60</v>
      </c>
      <c r="X492" s="11" t="s">
        <v>1633</v>
      </c>
      <c r="Y492" s="11" t="s">
        <v>1634</v>
      </c>
      <c r="Z492" s="11" t="s">
        <v>1635</v>
      </c>
    </row>
    <row r="493" ht="76" customHeight="1" spans="1:26">
      <c r="A493" s="8" t="s">
        <v>197</v>
      </c>
      <c r="B493" s="8" t="s">
        <v>99</v>
      </c>
      <c r="C493" s="8" t="s">
        <v>1636</v>
      </c>
      <c r="D493" s="8" t="s">
        <v>267</v>
      </c>
      <c r="E493" s="8" t="s">
        <v>277</v>
      </c>
      <c r="F493" s="8" t="s">
        <v>278</v>
      </c>
      <c r="G493" s="8" t="s">
        <v>90</v>
      </c>
      <c r="H493" s="8" t="s">
        <v>73</v>
      </c>
      <c r="I493" s="8" t="s">
        <v>90</v>
      </c>
      <c r="J493" s="8" t="s">
        <v>293</v>
      </c>
      <c r="K493" s="8">
        <v>8</v>
      </c>
      <c r="L493" s="8">
        <v>8</v>
      </c>
      <c r="M493" s="8">
        <v>16</v>
      </c>
      <c r="N493" s="9">
        <v>0</v>
      </c>
      <c r="O493" s="9">
        <v>16</v>
      </c>
      <c r="P493" s="9">
        <v>0</v>
      </c>
      <c r="Q493" s="9">
        <v>0</v>
      </c>
      <c r="R493" s="9">
        <v>32</v>
      </c>
      <c r="S493" s="9"/>
      <c r="T493" s="8"/>
      <c r="U493" s="8" t="s">
        <v>280</v>
      </c>
      <c r="V493" s="8" t="s">
        <v>280</v>
      </c>
      <c r="W493" s="10">
        <v>60</v>
      </c>
      <c r="X493" s="11" t="s">
        <v>1633</v>
      </c>
      <c r="Y493" s="11" t="s">
        <v>1186</v>
      </c>
      <c r="Z493" s="11"/>
    </row>
    <row r="494" spans="1:26">
      <c r="A494" s="8" t="s">
        <v>197</v>
      </c>
      <c r="B494" s="8" t="s">
        <v>99</v>
      </c>
      <c r="C494" s="8" t="s">
        <v>1637</v>
      </c>
      <c r="D494" s="8" t="s">
        <v>267</v>
      </c>
      <c r="E494" s="8" t="s">
        <v>268</v>
      </c>
      <c r="F494" s="8" t="s">
        <v>269</v>
      </c>
      <c r="G494" s="8" t="s">
        <v>90</v>
      </c>
      <c r="H494" s="8" t="s">
        <v>90</v>
      </c>
      <c r="I494" s="8" t="s">
        <v>90</v>
      </c>
      <c r="J494" s="8" t="s">
        <v>279</v>
      </c>
      <c r="K494" s="8">
        <v>0</v>
      </c>
      <c r="L494" s="8">
        <v>8</v>
      </c>
      <c r="M494" s="8">
        <v>8</v>
      </c>
      <c r="N494" s="9">
        <v>60</v>
      </c>
      <c r="O494" s="9">
        <v>52</v>
      </c>
      <c r="P494" s="9">
        <v>32</v>
      </c>
      <c r="Q494" s="9">
        <v>60</v>
      </c>
      <c r="R494" s="9">
        <v>16</v>
      </c>
      <c r="S494" s="9"/>
      <c r="T494" s="8"/>
      <c r="U494" s="8" t="s">
        <v>288</v>
      </c>
      <c r="V494" s="8" t="s">
        <v>271</v>
      </c>
      <c r="W494" s="10"/>
      <c r="X494" s="11"/>
      <c r="Y494" s="11"/>
      <c r="Z494" s="11"/>
    </row>
    <row r="495" ht="46" spans="1:26">
      <c r="A495" s="8" t="s">
        <v>197</v>
      </c>
      <c r="B495" s="8" t="s">
        <v>99</v>
      </c>
      <c r="C495" s="8" t="s">
        <v>1638</v>
      </c>
      <c r="D495" s="8" t="s">
        <v>267</v>
      </c>
      <c r="E495" s="8" t="s">
        <v>317</v>
      </c>
      <c r="F495" s="8" t="s">
        <v>278</v>
      </c>
      <c r="G495" s="8" t="s">
        <v>90</v>
      </c>
      <c r="H495" s="8" t="s">
        <v>73</v>
      </c>
      <c r="I495" s="8" t="s">
        <v>90</v>
      </c>
      <c r="J495" s="8" t="s">
        <v>279</v>
      </c>
      <c r="K495" s="8">
        <v>0</v>
      </c>
      <c r="L495" s="8">
        <v>8</v>
      </c>
      <c r="M495" s="8">
        <v>8</v>
      </c>
      <c r="N495" s="9">
        <v>4</v>
      </c>
      <c r="O495" s="9">
        <v>12</v>
      </c>
      <c r="P495" s="9">
        <v>4</v>
      </c>
      <c r="Q495" s="9">
        <v>12</v>
      </c>
      <c r="R495" s="9">
        <v>0</v>
      </c>
      <c r="S495" s="9"/>
      <c r="T495" s="8"/>
      <c r="U495" s="8" t="s">
        <v>301</v>
      </c>
      <c r="V495" s="8" t="s">
        <v>288</v>
      </c>
      <c r="W495" s="10">
        <v>20</v>
      </c>
      <c r="X495" s="11" t="s">
        <v>1086</v>
      </c>
      <c r="Y495" s="11" t="s">
        <v>1186</v>
      </c>
      <c r="Z495" s="11" t="s">
        <v>1639</v>
      </c>
    </row>
    <row r="496" ht="76" customHeight="1" spans="1:26">
      <c r="A496" s="8" t="s">
        <v>197</v>
      </c>
      <c r="B496" s="8" t="s">
        <v>99</v>
      </c>
      <c r="C496" s="8" t="s">
        <v>1640</v>
      </c>
      <c r="D496" s="8" t="s">
        <v>267</v>
      </c>
      <c r="E496" s="8" t="s">
        <v>277</v>
      </c>
      <c r="F496" s="8" t="s">
        <v>278</v>
      </c>
      <c r="G496" s="8" t="s">
        <v>90</v>
      </c>
      <c r="H496" s="8" t="s">
        <v>73</v>
      </c>
      <c r="I496" s="8" t="s">
        <v>90</v>
      </c>
      <c r="J496" s="8" t="s">
        <v>279</v>
      </c>
      <c r="K496" s="8">
        <v>0</v>
      </c>
      <c r="L496" s="8">
        <v>8</v>
      </c>
      <c r="M496" s="8">
        <v>8</v>
      </c>
      <c r="N496" s="9">
        <v>0</v>
      </c>
      <c r="O496" s="9">
        <v>0</v>
      </c>
      <c r="P496" s="9">
        <v>0</v>
      </c>
      <c r="Q496" s="9">
        <v>0</v>
      </c>
      <c r="R496" s="9">
        <v>0</v>
      </c>
      <c r="S496" s="9"/>
      <c r="T496" s="8"/>
      <c r="U496" s="8" t="s">
        <v>301</v>
      </c>
      <c r="V496" s="8" t="s">
        <v>288</v>
      </c>
      <c r="W496" s="10">
        <v>12</v>
      </c>
      <c r="X496" s="11" t="s">
        <v>1086</v>
      </c>
      <c r="Y496" s="11" t="s">
        <v>1186</v>
      </c>
      <c r="Z496" s="11"/>
    </row>
    <row r="497" ht="31" customHeight="1" spans="1:26">
      <c r="A497" s="8" t="s">
        <v>197</v>
      </c>
      <c r="B497" s="8" t="s">
        <v>99</v>
      </c>
      <c r="C497" s="8" t="s">
        <v>1641</v>
      </c>
      <c r="D497" s="8" t="s">
        <v>267</v>
      </c>
      <c r="E497" s="8" t="s">
        <v>277</v>
      </c>
      <c r="F497" s="8" t="s">
        <v>278</v>
      </c>
      <c r="G497" s="8" t="s">
        <v>90</v>
      </c>
      <c r="H497" s="8" t="s">
        <v>73</v>
      </c>
      <c r="I497" s="8" t="s">
        <v>90</v>
      </c>
      <c r="J497" s="8" t="s">
        <v>279</v>
      </c>
      <c r="K497" s="8">
        <v>0</v>
      </c>
      <c r="L497" s="8">
        <v>8</v>
      </c>
      <c r="M497" s="8">
        <v>8</v>
      </c>
      <c r="N497" s="9">
        <v>32</v>
      </c>
      <c r="O497" s="9">
        <v>0</v>
      </c>
      <c r="P497" s="9">
        <v>0</v>
      </c>
      <c r="Q497" s="9">
        <v>8</v>
      </c>
      <c r="R497" s="9">
        <v>0</v>
      </c>
      <c r="S497" s="9"/>
      <c r="T497" s="8"/>
      <c r="U497" s="8" t="s">
        <v>301</v>
      </c>
      <c r="V497" s="8" t="s">
        <v>288</v>
      </c>
      <c r="W497" s="10">
        <v>12</v>
      </c>
      <c r="X497" s="11" t="s">
        <v>1086</v>
      </c>
      <c r="Y497" s="11" t="s">
        <v>1180</v>
      </c>
      <c r="Z497" s="11"/>
    </row>
    <row r="498" ht="122" customHeight="1" spans="1:26">
      <c r="A498" s="8" t="s">
        <v>197</v>
      </c>
      <c r="B498" s="8" t="s">
        <v>99</v>
      </c>
      <c r="C498" s="8" t="s">
        <v>1642</v>
      </c>
      <c r="D498" s="8" t="s">
        <v>285</v>
      </c>
      <c r="E498" s="8" t="s">
        <v>286</v>
      </c>
      <c r="F498" s="8" t="s">
        <v>287</v>
      </c>
      <c r="G498" s="8" t="s">
        <v>90</v>
      </c>
      <c r="H498" s="8" t="s">
        <v>73</v>
      </c>
      <c r="I498" s="8" t="s">
        <v>90</v>
      </c>
      <c r="J498" s="8" t="s">
        <v>279</v>
      </c>
      <c r="K498" s="8">
        <v>0</v>
      </c>
      <c r="L498" s="8">
        <v>8</v>
      </c>
      <c r="M498" s="8">
        <v>8</v>
      </c>
      <c r="N498" s="9">
        <v>0</v>
      </c>
      <c r="O498" s="9">
        <v>0</v>
      </c>
      <c r="P498" s="9">
        <v>0</v>
      </c>
      <c r="Q498" s="9">
        <v>0</v>
      </c>
      <c r="R498" s="9">
        <v>0</v>
      </c>
      <c r="S498" s="9"/>
      <c r="T498" s="8"/>
      <c r="U498" s="8" t="s">
        <v>301</v>
      </c>
      <c r="V498" s="8" t="s">
        <v>288</v>
      </c>
      <c r="W498" s="10">
        <v>12</v>
      </c>
      <c r="X498" s="11" t="s">
        <v>1182</v>
      </c>
      <c r="Y498" s="11" t="s">
        <v>1165</v>
      </c>
      <c r="Z498" s="11"/>
    </row>
    <row r="499" ht="31" spans="1:26">
      <c r="A499" s="8" t="s">
        <v>197</v>
      </c>
      <c r="B499" s="8" t="s">
        <v>99</v>
      </c>
      <c r="C499" s="8" t="s">
        <v>1643</v>
      </c>
      <c r="D499" s="8" t="s">
        <v>285</v>
      </c>
      <c r="E499" s="8" t="s">
        <v>286</v>
      </c>
      <c r="F499" s="8" t="s">
        <v>287</v>
      </c>
      <c r="G499" s="8" t="s">
        <v>90</v>
      </c>
      <c r="H499" s="8" t="s">
        <v>73</v>
      </c>
      <c r="I499" s="8" t="s">
        <v>90</v>
      </c>
      <c r="J499" s="8" t="s">
        <v>279</v>
      </c>
      <c r="K499" s="8">
        <v>0</v>
      </c>
      <c r="L499" s="8">
        <v>16</v>
      </c>
      <c r="M499" s="8">
        <v>16</v>
      </c>
      <c r="N499" s="9">
        <v>0</v>
      </c>
      <c r="O499" s="9">
        <v>20</v>
      </c>
      <c r="P499" s="9">
        <v>20</v>
      </c>
      <c r="Q499" s="9">
        <v>0</v>
      </c>
      <c r="R499" s="9">
        <v>0</v>
      </c>
      <c r="S499" s="9"/>
      <c r="T499" s="8"/>
      <c r="U499" s="8" t="s">
        <v>301</v>
      </c>
      <c r="V499" s="8" t="s">
        <v>301</v>
      </c>
      <c r="W499" s="10">
        <v>40</v>
      </c>
      <c r="X499" s="11" t="s">
        <v>1182</v>
      </c>
      <c r="Y499" s="11" t="s">
        <v>1165</v>
      </c>
      <c r="Z499" s="11"/>
    </row>
    <row r="500" ht="122" customHeight="1" spans="1:26">
      <c r="A500" s="8" t="s">
        <v>197</v>
      </c>
      <c r="B500" s="8" t="s">
        <v>99</v>
      </c>
      <c r="C500" s="8" t="s">
        <v>1644</v>
      </c>
      <c r="D500" s="8" t="s">
        <v>336</v>
      </c>
      <c r="E500" s="8" t="s">
        <v>384</v>
      </c>
      <c r="F500" s="8" t="s">
        <v>338</v>
      </c>
      <c r="G500" s="8" t="s">
        <v>90</v>
      </c>
      <c r="H500" s="8" t="s">
        <v>73</v>
      </c>
      <c r="I500" s="8" t="s">
        <v>90</v>
      </c>
      <c r="J500" s="8" t="s">
        <v>279</v>
      </c>
      <c r="K500" s="8">
        <v>0</v>
      </c>
      <c r="L500" s="8">
        <v>8</v>
      </c>
      <c r="M500" s="8">
        <v>8</v>
      </c>
      <c r="N500" s="9">
        <v>0</v>
      </c>
      <c r="O500" s="9">
        <v>0</v>
      </c>
      <c r="P500" s="9">
        <v>0</v>
      </c>
      <c r="Q500" s="9">
        <v>0</v>
      </c>
      <c r="R500" s="9">
        <v>0</v>
      </c>
      <c r="S500" s="9"/>
      <c r="T500" s="8"/>
      <c r="U500" s="8" t="s">
        <v>301</v>
      </c>
      <c r="V500" s="8" t="s">
        <v>301</v>
      </c>
      <c r="W500" s="10">
        <v>12</v>
      </c>
      <c r="X500" s="11" t="s">
        <v>1645</v>
      </c>
      <c r="Y500" s="11" t="s">
        <v>1646</v>
      </c>
      <c r="Z500" s="11"/>
    </row>
    <row r="501" ht="107" customHeight="1" spans="1:26">
      <c r="A501" s="8" t="s">
        <v>174</v>
      </c>
      <c r="B501" s="8" t="s">
        <v>99</v>
      </c>
      <c r="C501" s="8" t="s">
        <v>1647</v>
      </c>
      <c r="D501" s="8" t="s">
        <v>336</v>
      </c>
      <c r="E501" s="8" t="s">
        <v>268</v>
      </c>
      <c r="F501" s="8" t="s">
        <v>338</v>
      </c>
      <c r="G501" s="8" t="s">
        <v>90</v>
      </c>
      <c r="H501" s="8" t="s">
        <v>90</v>
      </c>
      <c r="I501" s="8" t="s">
        <v>90</v>
      </c>
      <c r="J501" s="8" t="s">
        <v>270</v>
      </c>
      <c r="K501" s="8">
        <v>16</v>
      </c>
      <c r="L501" s="8">
        <v>0</v>
      </c>
      <c r="M501" s="8">
        <v>16</v>
      </c>
      <c r="N501" s="9">
        <v>60</v>
      </c>
      <c r="O501" s="9">
        <v>8</v>
      </c>
      <c r="P501" s="9">
        <v>68</v>
      </c>
      <c r="Q501" s="9">
        <v>56</v>
      </c>
      <c r="R501" s="9">
        <v>120</v>
      </c>
      <c r="S501" s="9"/>
      <c r="T501" s="8"/>
      <c r="U501" s="8" t="s">
        <v>271</v>
      </c>
      <c r="V501" s="8" t="s">
        <v>38</v>
      </c>
      <c r="W501" s="10">
        <v>300</v>
      </c>
      <c r="X501" s="11" t="s">
        <v>1648</v>
      </c>
      <c r="Y501" s="11" t="s">
        <v>1649</v>
      </c>
      <c r="Z501" s="11" t="s">
        <v>1650</v>
      </c>
    </row>
    <row r="502" ht="107" customHeight="1" spans="1:26">
      <c r="A502" s="8" t="s">
        <v>174</v>
      </c>
      <c r="B502" s="8" t="s">
        <v>99</v>
      </c>
      <c r="C502" s="8" t="s">
        <v>1651</v>
      </c>
      <c r="D502" s="8" t="s">
        <v>267</v>
      </c>
      <c r="E502" s="8" t="s">
        <v>286</v>
      </c>
      <c r="F502" s="8" t="s">
        <v>287</v>
      </c>
      <c r="G502" s="8" t="s">
        <v>90</v>
      </c>
      <c r="H502" s="8" t="s">
        <v>90</v>
      </c>
      <c r="I502" s="8" t="s">
        <v>90</v>
      </c>
      <c r="J502" s="8" t="s">
        <v>293</v>
      </c>
      <c r="K502" s="8">
        <v>16</v>
      </c>
      <c r="L502" s="8">
        <v>0</v>
      </c>
      <c r="M502" s="8">
        <v>16</v>
      </c>
      <c r="N502" s="9">
        <v>4</v>
      </c>
      <c r="O502" s="9">
        <v>4</v>
      </c>
      <c r="P502" s="9">
        <v>8</v>
      </c>
      <c r="Q502" s="9">
        <v>24</v>
      </c>
      <c r="R502" s="9">
        <v>52</v>
      </c>
      <c r="S502" s="9"/>
      <c r="T502" s="8"/>
      <c r="U502" s="8" t="s">
        <v>280</v>
      </c>
      <c r="V502" s="8" t="s">
        <v>272</v>
      </c>
      <c r="W502" s="10">
        <v>130</v>
      </c>
      <c r="X502" s="11" t="s">
        <v>1652</v>
      </c>
      <c r="Y502" s="11" t="s">
        <v>1653</v>
      </c>
      <c r="Z502" s="11" t="s">
        <v>1635</v>
      </c>
    </row>
    <row r="503" ht="61" customHeight="1" spans="1:26">
      <c r="A503" s="8" t="s">
        <v>174</v>
      </c>
      <c r="B503" s="8" t="s">
        <v>99</v>
      </c>
      <c r="C503" s="8" t="s">
        <v>1654</v>
      </c>
      <c r="D503" s="8" t="s">
        <v>267</v>
      </c>
      <c r="E503" s="8" t="s">
        <v>286</v>
      </c>
      <c r="F503" s="8" t="s">
        <v>287</v>
      </c>
      <c r="G503" s="8" t="s">
        <v>90</v>
      </c>
      <c r="H503" s="8" t="s">
        <v>90</v>
      </c>
      <c r="I503" s="8" t="s">
        <v>90</v>
      </c>
      <c r="J503" s="8" t="s">
        <v>293</v>
      </c>
      <c r="K503" s="8">
        <v>4</v>
      </c>
      <c r="L503" s="8">
        <v>8</v>
      </c>
      <c r="M503" s="8">
        <v>16</v>
      </c>
      <c r="N503" s="9">
        <v>8</v>
      </c>
      <c r="O503" s="9">
        <v>12</v>
      </c>
      <c r="P503" s="9">
        <v>8</v>
      </c>
      <c r="Q503" s="9">
        <v>24</v>
      </c>
      <c r="R503" s="9">
        <v>40</v>
      </c>
      <c r="S503" s="9"/>
      <c r="T503" s="8"/>
      <c r="U503" s="8" t="s">
        <v>280</v>
      </c>
      <c r="V503" s="8" t="s">
        <v>271</v>
      </c>
      <c r="W503" s="10">
        <v>70</v>
      </c>
      <c r="X503" s="11" t="s">
        <v>1655</v>
      </c>
      <c r="Y503" s="11" t="s">
        <v>1656</v>
      </c>
      <c r="Z503" s="11" t="s">
        <v>1657</v>
      </c>
    </row>
    <row r="504" ht="76" customHeight="1" spans="1:26">
      <c r="A504" s="8" t="s">
        <v>174</v>
      </c>
      <c r="B504" s="8" t="s">
        <v>99</v>
      </c>
      <c r="C504" s="8" t="s">
        <v>1658</v>
      </c>
      <c r="D504" s="8" t="s">
        <v>267</v>
      </c>
      <c r="E504" s="8" t="s">
        <v>277</v>
      </c>
      <c r="F504" s="8" t="s">
        <v>278</v>
      </c>
      <c r="G504" s="8" t="s">
        <v>73</v>
      </c>
      <c r="H504" s="8" t="s">
        <v>73</v>
      </c>
      <c r="I504" s="8" t="s">
        <v>90</v>
      </c>
      <c r="J504" s="8" t="s">
        <v>279</v>
      </c>
      <c r="K504" s="8">
        <v>0</v>
      </c>
      <c r="L504" s="8">
        <v>4</v>
      </c>
      <c r="M504" s="8">
        <v>4</v>
      </c>
      <c r="N504" s="9">
        <v>0</v>
      </c>
      <c r="O504" s="9">
        <v>0</v>
      </c>
      <c r="P504" s="9">
        <v>0</v>
      </c>
      <c r="Q504" s="9">
        <v>0</v>
      </c>
      <c r="R504" s="9">
        <v>12</v>
      </c>
      <c r="S504" s="9"/>
      <c r="T504" s="8"/>
      <c r="U504" s="8" t="s">
        <v>288</v>
      </c>
      <c r="V504" s="8" t="s">
        <v>280</v>
      </c>
      <c r="W504" s="10">
        <v>30</v>
      </c>
      <c r="X504" s="11" t="s">
        <v>1659</v>
      </c>
      <c r="Y504" s="11" t="s">
        <v>1660</v>
      </c>
      <c r="Z504" s="11" t="s">
        <v>1661</v>
      </c>
    </row>
    <row r="505" ht="31" customHeight="1" spans="1:26">
      <c r="A505" s="8" t="s">
        <v>174</v>
      </c>
      <c r="B505" s="8" t="s">
        <v>99</v>
      </c>
      <c r="C505" s="8" t="s">
        <v>1662</v>
      </c>
      <c r="D505" s="8" t="s">
        <v>267</v>
      </c>
      <c r="E505" s="8" t="s">
        <v>286</v>
      </c>
      <c r="F505" s="8" t="s">
        <v>287</v>
      </c>
      <c r="G505" s="8" t="s">
        <v>90</v>
      </c>
      <c r="H505" s="8" t="s">
        <v>90</v>
      </c>
      <c r="I505" s="8" t="s">
        <v>90</v>
      </c>
      <c r="J505" s="8" t="s">
        <v>293</v>
      </c>
      <c r="K505" s="8">
        <v>8</v>
      </c>
      <c r="L505" s="8">
        <v>0</v>
      </c>
      <c r="M505" s="8">
        <v>8</v>
      </c>
      <c r="N505" s="9">
        <v>12</v>
      </c>
      <c r="O505" s="9">
        <v>12</v>
      </c>
      <c r="P505" s="9">
        <v>24</v>
      </c>
      <c r="Q505" s="9">
        <v>8</v>
      </c>
      <c r="R505" s="9">
        <v>4</v>
      </c>
      <c r="S505" s="9"/>
      <c r="T505" s="8"/>
      <c r="U505" s="8" t="s">
        <v>288</v>
      </c>
      <c r="V505" s="8" t="s">
        <v>271</v>
      </c>
      <c r="W505" s="10">
        <v>70</v>
      </c>
      <c r="X505" s="11" t="s">
        <v>1663</v>
      </c>
      <c r="Y505" s="11" t="s">
        <v>1664</v>
      </c>
      <c r="Z505" s="11" t="s">
        <v>1635</v>
      </c>
    </row>
    <row r="506" ht="46" customHeight="1" spans="1:26">
      <c r="A506" s="8" t="s">
        <v>174</v>
      </c>
      <c r="B506" s="8" t="s">
        <v>99</v>
      </c>
      <c r="C506" s="8" t="s">
        <v>1665</v>
      </c>
      <c r="D506" s="8" t="s">
        <v>267</v>
      </c>
      <c r="E506" s="8" t="s">
        <v>268</v>
      </c>
      <c r="F506" s="8" t="s">
        <v>269</v>
      </c>
      <c r="G506" s="8" t="s">
        <v>90</v>
      </c>
      <c r="H506" s="8" t="s">
        <v>90</v>
      </c>
      <c r="I506" s="8" t="s">
        <v>90</v>
      </c>
      <c r="J506" s="8" t="s">
        <v>270</v>
      </c>
      <c r="K506" s="8">
        <v>4</v>
      </c>
      <c r="L506" s="8">
        <v>0</v>
      </c>
      <c r="M506" s="8">
        <v>4</v>
      </c>
      <c r="N506" s="9">
        <v>4</v>
      </c>
      <c r="O506" s="9">
        <v>36</v>
      </c>
      <c r="P506" s="9">
        <v>40</v>
      </c>
      <c r="Q506" s="9">
        <v>36</v>
      </c>
      <c r="R506" s="9">
        <v>4</v>
      </c>
      <c r="S506" s="9"/>
      <c r="T506" s="8"/>
      <c r="U506" s="8" t="s">
        <v>288</v>
      </c>
      <c r="V506" s="8" t="s">
        <v>271</v>
      </c>
      <c r="W506" s="10">
        <v>70</v>
      </c>
      <c r="X506" s="11" t="s">
        <v>1666</v>
      </c>
      <c r="Y506" s="11" t="s">
        <v>1667</v>
      </c>
      <c r="Z506" s="11" t="s">
        <v>1668</v>
      </c>
    </row>
    <row r="507" ht="31" customHeight="1" spans="1:26">
      <c r="A507" s="8" t="s">
        <v>174</v>
      </c>
      <c r="B507" s="8" t="s">
        <v>99</v>
      </c>
      <c r="C507" s="8" t="s">
        <v>1669</v>
      </c>
      <c r="D507" s="8" t="s">
        <v>285</v>
      </c>
      <c r="E507" s="8" t="s">
        <v>286</v>
      </c>
      <c r="F507" s="8" t="s">
        <v>287</v>
      </c>
      <c r="G507" s="8" t="s">
        <v>90</v>
      </c>
      <c r="H507" s="8" t="s">
        <v>90</v>
      </c>
      <c r="I507" s="8" t="s">
        <v>73</v>
      </c>
      <c r="J507" s="8" t="s">
        <v>279</v>
      </c>
      <c r="K507" s="8">
        <v>8</v>
      </c>
      <c r="L507" s="8">
        <v>8</v>
      </c>
      <c r="M507" s="8">
        <v>16</v>
      </c>
      <c r="N507" s="9">
        <v>0</v>
      </c>
      <c r="O507" s="9">
        <v>0</v>
      </c>
      <c r="P507" s="9">
        <v>0</v>
      </c>
      <c r="Q507" s="9">
        <v>0</v>
      </c>
      <c r="R507" s="9">
        <v>0</v>
      </c>
      <c r="S507" s="9"/>
      <c r="T507" s="8"/>
      <c r="U507" s="8" t="s">
        <v>301</v>
      </c>
      <c r="V507" s="8" t="s">
        <v>288</v>
      </c>
      <c r="W507" s="10">
        <v>30</v>
      </c>
      <c r="X507" s="11" t="s">
        <v>1670</v>
      </c>
      <c r="Y507" s="11" t="s">
        <v>1671</v>
      </c>
      <c r="Z507" s="11" t="s">
        <v>1672</v>
      </c>
    </row>
    <row r="508" ht="31" customHeight="1" spans="1:26">
      <c r="A508" s="8" t="s">
        <v>174</v>
      </c>
      <c r="B508" s="8" t="s">
        <v>99</v>
      </c>
      <c r="C508" s="8" t="s">
        <v>662</v>
      </c>
      <c r="D508" s="8" t="s">
        <v>267</v>
      </c>
      <c r="E508" s="8" t="s">
        <v>277</v>
      </c>
      <c r="F508" s="8" t="s">
        <v>278</v>
      </c>
      <c r="G508" s="8" t="s">
        <v>90</v>
      </c>
      <c r="H508" s="8" t="s">
        <v>90</v>
      </c>
      <c r="I508" s="8" t="s">
        <v>90</v>
      </c>
      <c r="J508" s="8" t="s">
        <v>270</v>
      </c>
      <c r="K508" s="8">
        <v>4</v>
      </c>
      <c r="L508" s="8">
        <v>8</v>
      </c>
      <c r="M508" s="8">
        <v>12</v>
      </c>
      <c r="N508" s="9">
        <v>0</v>
      </c>
      <c r="O508" s="9">
        <v>0</v>
      </c>
      <c r="P508" s="9">
        <v>0</v>
      </c>
      <c r="Q508" s="9">
        <v>0</v>
      </c>
      <c r="R508" s="9">
        <v>0</v>
      </c>
      <c r="S508" s="9"/>
      <c r="T508" s="8"/>
      <c r="U508" s="8" t="s">
        <v>288</v>
      </c>
      <c r="V508" s="8" t="s">
        <v>271</v>
      </c>
      <c r="W508" s="10">
        <v>70</v>
      </c>
      <c r="X508" s="11" t="s">
        <v>1673</v>
      </c>
      <c r="Y508" s="11" t="s">
        <v>1674</v>
      </c>
      <c r="Z508" s="11" t="s">
        <v>1657</v>
      </c>
    </row>
    <row r="509" ht="31" customHeight="1" spans="1:26">
      <c r="A509" s="8" t="s">
        <v>174</v>
      </c>
      <c r="B509" s="8" t="s">
        <v>99</v>
      </c>
      <c r="C509" s="8" t="s">
        <v>1675</v>
      </c>
      <c r="D509" s="8" t="s">
        <v>267</v>
      </c>
      <c r="E509" s="8" t="s">
        <v>277</v>
      </c>
      <c r="F509" s="8" t="s">
        <v>278</v>
      </c>
      <c r="G509" s="8" t="s">
        <v>90</v>
      </c>
      <c r="H509" s="8" t="s">
        <v>90</v>
      </c>
      <c r="I509" s="8" t="s">
        <v>90</v>
      </c>
      <c r="J509" s="8" t="s">
        <v>279</v>
      </c>
      <c r="K509" s="8">
        <v>0</v>
      </c>
      <c r="L509" s="8">
        <v>12</v>
      </c>
      <c r="M509" s="8">
        <v>12</v>
      </c>
      <c r="N509" s="9">
        <v>8</v>
      </c>
      <c r="O509" s="9">
        <v>0</v>
      </c>
      <c r="P509" s="9">
        <v>0</v>
      </c>
      <c r="Q509" s="9">
        <v>24</v>
      </c>
      <c r="R509" s="9">
        <v>0</v>
      </c>
      <c r="S509" s="9"/>
      <c r="T509" s="8"/>
      <c r="U509" s="8" t="s">
        <v>301</v>
      </c>
      <c r="V509" s="8" t="s">
        <v>271</v>
      </c>
      <c r="W509" s="10">
        <v>70</v>
      </c>
      <c r="X509" s="11" t="s">
        <v>1676</v>
      </c>
      <c r="Y509" s="11" t="s">
        <v>1677</v>
      </c>
      <c r="Z509" s="11" t="s">
        <v>1657</v>
      </c>
    </row>
    <row r="510" ht="31" customHeight="1" spans="1:26">
      <c r="A510" s="8" t="s">
        <v>174</v>
      </c>
      <c r="B510" s="8" t="s">
        <v>99</v>
      </c>
      <c r="C510" s="8" t="s">
        <v>1678</v>
      </c>
      <c r="D510" s="8" t="s">
        <v>285</v>
      </c>
      <c r="E510" s="8" t="s">
        <v>286</v>
      </c>
      <c r="F510" s="8" t="s">
        <v>287</v>
      </c>
      <c r="G510" s="8" t="s">
        <v>90</v>
      </c>
      <c r="H510" s="8" t="s">
        <v>90</v>
      </c>
      <c r="I510" s="8" t="s">
        <v>73</v>
      </c>
      <c r="J510" s="8" t="s">
        <v>279</v>
      </c>
      <c r="K510" s="8">
        <v>0</v>
      </c>
      <c r="L510" s="8">
        <v>12</v>
      </c>
      <c r="M510" s="8">
        <v>12</v>
      </c>
      <c r="N510" s="9">
        <v>0</v>
      </c>
      <c r="O510" s="9">
        <v>0</v>
      </c>
      <c r="P510" s="9">
        <v>0</v>
      </c>
      <c r="Q510" s="9">
        <v>0</v>
      </c>
      <c r="R510" s="9">
        <v>0</v>
      </c>
      <c r="S510" s="9"/>
      <c r="T510" s="8"/>
      <c r="U510" s="8" t="s">
        <v>301</v>
      </c>
      <c r="V510" s="8" t="s">
        <v>280</v>
      </c>
      <c r="W510" s="10">
        <v>30</v>
      </c>
      <c r="X510" s="11" t="s">
        <v>1679</v>
      </c>
      <c r="Y510" s="11" t="s">
        <v>1680</v>
      </c>
      <c r="Z510" s="11" t="s">
        <v>1668</v>
      </c>
    </row>
    <row r="511" ht="92" customHeight="1" spans="1:26">
      <c r="A511" s="8" t="s">
        <v>174</v>
      </c>
      <c r="B511" s="8" t="s">
        <v>99</v>
      </c>
      <c r="C511" s="8" t="s">
        <v>1681</v>
      </c>
      <c r="D511" s="8" t="s">
        <v>267</v>
      </c>
      <c r="E511" s="8" t="s">
        <v>286</v>
      </c>
      <c r="F511" s="8" t="s">
        <v>287</v>
      </c>
      <c r="G511" s="8" t="s">
        <v>90</v>
      </c>
      <c r="H511" s="8" t="s">
        <v>73</v>
      </c>
      <c r="I511" s="8" t="s">
        <v>90</v>
      </c>
      <c r="J511" s="8" t="s">
        <v>279</v>
      </c>
      <c r="K511" s="8">
        <v>0</v>
      </c>
      <c r="L511" s="8">
        <v>8</v>
      </c>
      <c r="M511" s="8">
        <v>8</v>
      </c>
      <c r="N511" s="9">
        <v>0</v>
      </c>
      <c r="O511" s="9">
        <v>0</v>
      </c>
      <c r="P511" s="9">
        <v>0</v>
      </c>
      <c r="Q511" s="9">
        <v>0</v>
      </c>
      <c r="R511" s="9">
        <v>0</v>
      </c>
      <c r="S511" s="9"/>
      <c r="T511" s="8"/>
      <c r="U511" s="8" t="s">
        <v>301</v>
      </c>
      <c r="V511" s="8" t="s">
        <v>280</v>
      </c>
      <c r="W511" s="10">
        <v>30</v>
      </c>
      <c r="X511" s="11" t="s">
        <v>1682</v>
      </c>
      <c r="Y511" s="11" t="s">
        <v>1683</v>
      </c>
      <c r="Z511" s="11" t="s">
        <v>1684</v>
      </c>
    </row>
    <row r="512" ht="61" customHeight="1" spans="1:26">
      <c r="A512" s="8" t="s">
        <v>174</v>
      </c>
      <c r="B512" s="8" t="s">
        <v>99</v>
      </c>
      <c r="C512" s="8" t="s">
        <v>1685</v>
      </c>
      <c r="D512" s="8" t="s">
        <v>267</v>
      </c>
      <c r="E512" s="8" t="s">
        <v>277</v>
      </c>
      <c r="F512" s="8" t="s">
        <v>278</v>
      </c>
      <c r="G512" s="8" t="s">
        <v>73</v>
      </c>
      <c r="H512" s="8" t="s">
        <v>73</v>
      </c>
      <c r="I512" s="8" t="s">
        <v>90</v>
      </c>
      <c r="J512" s="8" t="s">
        <v>279</v>
      </c>
      <c r="K512" s="8">
        <v>0</v>
      </c>
      <c r="L512" s="8">
        <v>8</v>
      </c>
      <c r="M512" s="8">
        <v>8</v>
      </c>
      <c r="N512" s="9">
        <v>0</v>
      </c>
      <c r="O512" s="9">
        <v>0</v>
      </c>
      <c r="P512" s="9">
        <v>0</v>
      </c>
      <c r="Q512" s="9">
        <v>4</v>
      </c>
      <c r="R512" s="9">
        <v>0</v>
      </c>
      <c r="S512" s="9"/>
      <c r="T512" s="8"/>
      <c r="U512" s="8" t="s">
        <v>301</v>
      </c>
      <c r="V512" s="8" t="s">
        <v>280</v>
      </c>
      <c r="W512" s="10">
        <v>30</v>
      </c>
      <c r="X512" s="11" t="s">
        <v>1686</v>
      </c>
      <c r="Y512" s="11" t="s">
        <v>1687</v>
      </c>
      <c r="Z512" s="11" t="s">
        <v>1661</v>
      </c>
    </row>
    <row r="513" ht="46" customHeight="1" spans="1:26">
      <c r="A513" s="8" t="s">
        <v>174</v>
      </c>
      <c r="B513" s="8" t="s">
        <v>99</v>
      </c>
      <c r="C513" s="8" t="s">
        <v>1688</v>
      </c>
      <c r="D513" s="8" t="s">
        <v>267</v>
      </c>
      <c r="E513" s="8" t="s">
        <v>277</v>
      </c>
      <c r="F513" s="8" t="s">
        <v>278</v>
      </c>
      <c r="G513" s="8" t="s">
        <v>73</v>
      </c>
      <c r="H513" s="8" t="s">
        <v>73</v>
      </c>
      <c r="I513" s="8" t="s">
        <v>90</v>
      </c>
      <c r="J513" s="8" t="s">
        <v>279</v>
      </c>
      <c r="K513" s="8">
        <v>0</v>
      </c>
      <c r="L513" s="8">
        <v>4</v>
      </c>
      <c r="M513" s="8">
        <v>4</v>
      </c>
      <c r="N513" s="9">
        <v>0</v>
      </c>
      <c r="O513" s="9">
        <v>0</v>
      </c>
      <c r="P513" s="9">
        <v>0</v>
      </c>
      <c r="Q513" s="9">
        <v>4</v>
      </c>
      <c r="R513" s="9">
        <v>0</v>
      </c>
      <c r="S513" s="9"/>
      <c r="T513" s="8"/>
      <c r="U513" s="8" t="s">
        <v>301</v>
      </c>
      <c r="V513" s="8" t="s">
        <v>280</v>
      </c>
      <c r="W513" s="10">
        <v>30</v>
      </c>
      <c r="X513" s="11" t="s">
        <v>1686</v>
      </c>
      <c r="Y513" s="11" t="s">
        <v>1689</v>
      </c>
      <c r="Z513" s="11" t="s">
        <v>1661</v>
      </c>
    </row>
    <row r="514" ht="46" customHeight="1" spans="1:26">
      <c r="A514" s="8" t="s">
        <v>219</v>
      </c>
      <c r="B514" s="8" t="s">
        <v>220</v>
      </c>
      <c r="C514" s="8" t="s">
        <v>1690</v>
      </c>
      <c r="D514" s="8" t="s">
        <v>267</v>
      </c>
      <c r="E514" s="8" t="s">
        <v>268</v>
      </c>
      <c r="F514" s="8" t="s">
        <v>269</v>
      </c>
      <c r="G514" s="8" t="s">
        <v>90</v>
      </c>
      <c r="H514" s="8" t="s">
        <v>90</v>
      </c>
      <c r="I514" s="8" t="s">
        <v>90</v>
      </c>
      <c r="J514" s="8" t="s">
        <v>270</v>
      </c>
      <c r="K514" s="8">
        <v>4</v>
      </c>
      <c r="L514" s="8">
        <v>8</v>
      </c>
      <c r="M514" s="8">
        <v>12</v>
      </c>
      <c r="N514" s="9">
        <v>112</v>
      </c>
      <c r="O514" s="9">
        <v>152</v>
      </c>
      <c r="P514" s="9">
        <v>96</v>
      </c>
      <c r="Q514" s="9">
        <v>112</v>
      </c>
      <c r="R514" s="9">
        <v>80</v>
      </c>
      <c r="S514" s="9"/>
      <c r="T514" s="8"/>
      <c r="U514" s="8" t="s">
        <v>271</v>
      </c>
      <c r="V514" s="8" t="s">
        <v>1691</v>
      </c>
      <c r="W514" s="10">
        <v>300</v>
      </c>
      <c r="X514" s="11" t="s">
        <v>1692</v>
      </c>
      <c r="Y514" s="11" t="s">
        <v>1693</v>
      </c>
      <c r="Z514" s="11" t="s">
        <v>1694</v>
      </c>
    </row>
    <row r="515" ht="107" spans="1:26">
      <c r="A515" s="8" t="s">
        <v>219</v>
      </c>
      <c r="B515" s="8" t="s">
        <v>220</v>
      </c>
      <c r="C515" s="8" t="s">
        <v>1695</v>
      </c>
      <c r="D515" s="8" t="s">
        <v>267</v>
      </c>
      <c r="E515" s="8" t="s">
        <v>268</v>
      </c>
      <c r="F515" s="8" t="s">
        <v>269</v>
      </c>
      <c r="G515" s="8" t="s">
        <v>90</v>
      </c>
      <c r="H515" s="8" t="s">
        <v>90</v>
      </c>
      <c r="I515" s="8" t="s">
        <v>90</v>
      </c>
      <c r="J515" s="8" t="s">
        <v>270</v>
      </c>
      <c r="K515" s="8">
        <v>4</v>
      </c>
      <c r="L515" s="8">
        <v>8</v>
      </c>
      <c r="M515" s="8">
        <v>12</v>
      </c>
      <c r="N515" s="9">
        <v>12</v>
      </c>
      <c r="O515" s="9">
        <v>0</v>
      </c>
      <c r="P515" s="9">
        <v>0</v>
      </c>
      <c r="Q515" s="9">
        <v>8</v>
      </c>
      <c r="R515" s="9">
        <v>20</v>
      </c>
      <c r="S515" s="9"/>
      <c r="T515" s="8"/>
      <c r="U515" s="8" t="s">
        <v>288</v>
      </c>
      <c r="V515" s="8" t="s">
        <v>1696</v>
      </c>
      <c r="W515" s="10">
        <v>130</v>
      </c>
      <c r="X515" s="11" t="s">
        <v>1697</v>
      </c>
      <c r="Y515" s="11" t="s">
        <v>1698</v>
      </c>
      <c r="Z515" s="11" t="s">
        <v>1694</v>
      </c>
    </row>
    <row r="516" ht="46" customHeight="1" spans="1:26">
      <c r="A516" s="8" t="s">
        <v>219</v>
      </c>
      <c r="B516" s="8" t="s">
        <v>220</v>
      </c>
      <c r="C516" s="8" t="s">
        <v>1699</v>
      </c>
      <c r="D516" s="8" t="s">
        <v>285</v>
      </c>
      <c r="E516" s="8" t="s">
        <v>286</v>
      </c>
      <c r="F516" s="8" t="s">
        <v>287</v>
      </c>
      <c r="G516" s="8" t="s">
        <v>90</v>
      </c>
      <c r="H516" s="8" t="s">
        <v>90</v>
      </c>
      <c r="I516" s="8" t="s">
        <v>90</v>
      </c>
      <c r="J516" s="8" t="s">
        <v>293</v>
      </c>
      <c r="K516" s="8">
        <v>12</v>
      </c>
      <c r="L516" s="8">
        <v>0</v>
      </c>
      <c r="M516" s="8">
        <v>20</v>
      </c>
      <c r="N516" s="9">
        <v>32</v>
      </c>
      <c r="O516" s="9">
        <v>32</v>
      </c>
      <c r="P516" s="9">
        <v>20</v>
      </c>
      <c r="Q516" s="9">
        <v>4</v>
      </c>
      <c r="R516" s="9">
        <v>16</v>
      </c>
      <c r="S516" s="9"/>
      <c r="T516" s="8"/>
      <c r="U516" s="8" t="s">
        <v>288</v>
      </c>
      <c r="V516" s="8" t="s">
        <v>280</v>
      </c>
      <c r="W516" s="10">
        <v>70</v>
      </c>
      <c r="X516" s="11" t="s">
        <v>1700</v>
      </c>
      <c r="Y516" s="11" t="s">
        <v>1701</v>
      </c>
      <c r="Z516" s="11" t="s">
        <v>1702</v>
      </c>
    </row>
    <row r="517" ht="31" customHeight="1" spans="1:26">
      <c r="A517" s="8" t="s">
        <v>219</v>
      </c>
      <c r="B517" s="8" t="s">
        <v>220</v>
      </c>
      <c r="C517" s="8" t="s">
        <v>1703</v>
      </c>
      <c r="D517" s="8" t="s">
        <v>267</v>
      </c>
      <c r="E517" s="8" t="s">
        <v>277</v>
      </c>
      <c r="F517" s="8" t="s">
        <v>278</v>
      </c>
      <c r="G517" s="8" t="s">
        <v>90</v>
      </c>
      <c r="H517" s="8" t="s">
        <v>90</v>
      </c>
      <c r="I517" s="8" t="s">
        <v>90</v>
      </c>
      <c r="J517" s="8" t="s">
        <v>279</v>
      </c>
      <c r="K517" s="8">
        <v>0</v>
      </c>
      <c r="L517" s="8">
        <v>12</v>
      </c>
      <c r="M517" s="8">
        <v>12</v>
      </c>
      <c r="N517" s="9">
        <v>0</v>
      </c>
      <c r="O517" s="9">
        <v>0</v>
      </c>
      <c r="P517" s="9">
        <v>0</v>
      </c>
      <c r="Q517" s="9">
        <v>0</v>
      </c>
      <c r="R517" s="9">
        <v>12</v>
      </c>
      <c r="S517" s="9"/>
      <c r="T517" s="8"/>
      <c r="U517" s="8" t="s">
        <v>288</v>
      </c>
      <c r="V517" s="8" t="s">
        <v>288</v>
      </c>
      <c r="W517" s="10">
        <v>30</v>
      </c>
      <c r="X517" s="11" t="s">
        <v>1704</v>
      </c>
      <c r="Y517" s="11" t="s">
        <v>1705</v>
      </c>
      <c r="Z517" s="11" t="s">
        <v>1657</v>
      </c>
    </row>
    <row r="518" ht="46" customHeight="1" spans="1:26">
      <c r="A518" s="8" t="s">
        <v>219</v>
      </c>
      <c r="B518" s="8" t="s">
        <v>220</v>
      </c>
      <c r="C518" s="8" t="s">
        <v>1706</v>
      </c>
      <c r="D518" s="8" t="s">
        <v>285</v>
      </c>
      <c r="E518" s="8" t="s">
        <v>286</v>
      </c>
      <c r="F518" s="8" t="s">
        <v>287</v>
      </c>
      <c r="G518" s="8" t="s">
        <v>90</v>
      </c>
      <c r="H518" s="8" t="s">
        <v>90</v>
      </c>
      <c r="I518" s="8" t="s">
        <v>90</v>
      </c>
      <c r="J518" s="8" t="s">
        <v>293</v>
      </c>
      <c r="K518" s="8">
        <v>12</v>
      </c>
      <c r="L518" s="8">
        <v>0</v>
      </c>
      <c r="M518" s="8">
        <v>20</v>
      </c>
      <c r="N518" s="9">
        <v>12</v>
      </c>
      <c r="O518" s="9">
        <v>16</v>
      </c>
      <c r="P518" s="9">
        <v>24</v>
      </c>
      <c r="Q518" s="9">
        <v>4</v>
      </c>
      <c r="R518" s="9">
        <v>8</v>
      </c>
      <c r="S518" s="9"/>
      <c r="T518" s="8"/>
      <c r="U518" s="8" t="s">
        <v>288</v>
      </c>
      <c r="V518" s="8" t="s">
        <v>280</v>
      </c>
      <c r="W518" s="10">
        <v>70</v>
      </c>
      <c r="X518" s="11" t="s">
        <v>1707</v>
      </c>
      <c r="Y518" s="11" t="s">
        <v>1708</v>
      </c>
      <c r="Z518" s="11" t="s">
        <v>1635</v>
      </c>
    </row>
    <row r="519" ht="46" customHeight="1" spans="1:26">
      <c r="A519" s="8" t="s">
        <v>219</v>
      </c>
      <c r="B519" s="8" t="s">
        <v>220</v>
      </c>
      <c r="C519" s="8" t="s">
        <v>1709</v>
      </c>
      <c r="D519" s="8" t="s">
        <v>285</v>
      </c>
      <c r="E519" s="8" t="s">
        <v>286</v>
      </c>
      <c r="F519" s="8" t="s">
        <v>287</v>
      </c>
      <c r="G519" s="8" t="s">
        <v>90</v>
      </c>
      <c r="H519" s="8" t="s">
        <v>90</v>
      </c>
      <c r="I519" s="8" t="s">
        <v>90</v>
      </c>
      <c r="J519" s="8" t="s">
        <v>293</v>
      </c>
      <c r="K519" s="8">
        <v>12</v>
      </c>
      <c r="L519" s="8">
        <v>0</v>
      </c>
      <c r="M519" s="8">
        <v>20</v>
      </c>
      <c r="N519" s="9">
        <v>0</v>
      </c>
      <c r="O519" s="9">
        <v>0</v>
      </c>
      <c r="P519" s="9">
        <v>0</v>
      </c>
      <c r="Q519" s="9">
        <v>0</v>
      </c>
      <c r="R519" s="9">
        <v>0</v>
      </c>
      <c r="S519" s="9"/>
      <c r="T519" s="8"/>
      <c r="U519" s="8" t="s">
        <v>301</v>
      </c>
      <c r="V519" s="8" t="s">
        <v>288</v>
      </c>
      <c r="W519" s="10">
        <v>30</v>
      </c>
      <c r="X519" s="11" t="s">
        <v>1710</v>
      </c>
      <c r="Y519" s="11" t="s">
        <v>1711</v>
      </c>
      <c r="Z519" s="11" t="s">
        <v>1712</v>
      </c>
    </row>
    <row r="520" ht="46" customHeight="1" spans="1:26">
      <c r="A520" s="8" t="s">
        <v>219</v>
      </c>
      <c r="B520" s="8" t="s">
        <v>220</v>
      </c>
      <c r="C520" s="8" t="s">
        <v>1713</v>
      </c>
      <c r="D520" s="8" t="s">
        <v>285</v>
      </c>
      <c r="E520" s="8" t="s">
        <v>286</v>
      </c>
      <c r="F520" s="8" t="s">
        <v>287</v>
      </c>
      <c r="G520" s="8" t="s">
        <v>90</v>
      </c>
      <c r="H520" s="8" t="s">
        <v>73</v>
      </c>
      <c r="I520" s="8" t="s">
        <v>90</v>
      </c>
      <c r="J520" s="8" t="s">
        <v>293</v>
      </c>
      <c r="K520" s="8">
        <v>12</v>
      </c>
      <c r="L520" s="8">
        <v>0</v>
      </c>
      <c r="M520" s="8">
        <v>20</v>
      </c>
      <c r="N520" s="9">
        <v>0</v>
      </c>
      <c r="O520" s="9">
        <v>0</v>
      </c>
      <c r="P520" s="9">
        <v>4</v>
      </c>
      <c r="Q520" s="9">
        <v>0</v>
      </c>
      <c r="R520" s="9">
        <v>0</v>
      </c>
      <c r="S520" s="9"/>
      <c r="T520" s="8"/>
      <c r="U520" s="8" t="s">
        <v>301</v>
      </c>
      <c r="V520" s="8" t="s">
        <v>301</v>
      </c>
      <c r="W520" s="10"/>
      <c r="X520" s="11"/>
      <c r="Y520" s="11"/>
      <c r="Z520" s="11"/>
    </row>
    <row r="521" ht="31" customHeight="1" spans="1:26">
      <c r="A521" s="8" t="s">
        <v>219</v>
      </c>
      <c r="B521" s="8" t="s">
        <v>220</v>
      </c>
      <c r="C521" s="8" t="s">
        <v>1714</v>
      </c>
      <c r="D521" s="8" t="s">
        <v>285</v>
      </c>
      <c r="E521" s="8" t="s">
        <v>286</v>
      </c>
      <c r="F521" s="8" t="s">
        <v>287</v>
      </c>
      <c r="G521" s="8" t="s">
        <v>90</v>
      </c>
      <c r="H521" s="8" t="s">
        <v>90</v>
      </c>
      <c r="I521" s="8" t="s">
        <v>90</v>
      </c>
      <c r="J521" s="8" t="s">
        <v>293</v>
      </c>
      <c r="K521" s="8">
        <v>12</v>
      </c>
      <c r="L521" s="8">
        <v>0</v>
      </c>
      <c r="M521" s="8">
        <v>20</v>
      </c>
      <c r="N521" s="9">
        <v>12</v>
      </c>
      <c r="O521" s="9">
        <v>0</v>
      </c>
      <c r="P521" s="9">
        <v>0</v>
      </c>
      <c r="Q521" s="9">
        <v>0</v>
      </c>
      <c r="R521" s="9">
        <v>0</v>
      </c>
      <c r="S521" s="9"/>
      <c r="T521" s="8"/>
      <c r="U521" s="8" t="s">
        <v>301</v>
      </c>
      <c r="V521" s="8" t="s">
        <v>280</v>
      </c>
      <c r="W521" s="10">
        <v>70</v>
      </c>
      <c r="X521" s="11" t="s">
        <v>1715</v>
      </c>
      <c r="Y521" s="11" t="s">
        <v>1716</v>
      </c>
      <c r="Z521" s="11" t="s">
        <v>1657</v>
      </c>
    </row>
    <row r="522" ht="58" customHeight="1" spans="1:26">
      <c r="A522" s="8" t="s">
        <v>219</v>
      </c>
      <c r="B522" s="8" t="s">
        <v>220</v>
      </c>
      <c r="C522" s="8" t="s">
        <v>1717</v>
      </c>
      <c r="D522" s="8" t="s">
        <v>267</v>
      </c>
      <c r="E522" s="8" t="s">
        <v>317</v>
      </c>
      <c r="F522" s="8" t="s">
        <v>278</v>
      </c>
      <c r="G522" s="8" t="s">
        <v>90</v>
      </c>
      <c r="H522" s="8" t="s">
        <v>90</v>
      </c>
      <c r="I522" s="8" t="s">
        <v>90</v>
      </c>
      <c r="J522" s="8" t="s">
        <v>279</v>
      </c>
      <c r="K522" s="8">
        <v>0</v>
      </c>
      <c r="L522" s="8">
        <v>8</v>
      </c>
      <c r="M522" s="8">
        <v>8</v>
      </c>
      <c r="N522" s="9">
        <v>0</v>
      </c>
      <c r="O522" s="9">
        <v>0</v>
      </c>
      <c r="P522" s="9">
        <v>0</v>
      </c>
      <c r="Q522" s="9">
        <v>0</v>
      </c>
      <c r="R522" s="9">
        <v>0</v>
      </c>
      <c r="S522" s="9"/>
      <c r="T522" s="8"/>
      <c r="U522" s="8" t="s">
        <v>301</v>
      </c>
      <c r="V522" s="8" t="s">
        <v>288</v>
      </c>
      <c r="W522" s="10">
        <v>30</v>
      </c>
      <c r="X522" s="11" t="s">
        <v>1718</v>
      </c>
      <c r="Y522" s="11" t="s">
        <v>1719</v>
      </c>
      <c r="Z522" s="11" t="s">
        <v>1635</v>
      </c>
    </row>
    <row r="523" ht="43.5" customHeight="1" spans="1:26">
      <c r="A523" s="8" t="s">
        <v>219</v>
      </c>
      <c r="B523" s="8" t="s">
        <v>220</v>
      </c>
      <c r="C523" s="8" t="s">
        <v>1720</v>
      </c>
      <c r="D523" s="8" t="s">
        <v>267</v>
      </c>
      <c r="E523" s="8" t="s">
        <v>277</v>
      </c>
      <c r="F523" s="8" t="s">
        <v>278</v>
      </c>
      <c r="G523" s="8" t="s">
        <v>90</v>
      </c>
      <c r="H523" s="8" t="s">
        <v>90</v>
      </c>
      <c r="I523" s="8" t="s">
        <v>90</v>
      </c>
      <c r="J523" s="8" t="s">
        <v>279</v>
      </c>
      <c r="K523" s="8">
        <v>0</v>
      </c>
      <c r="L523" s="8">
        <v>8</v>
      </c>
      <c r="M523" s="8">
        <v>8</v>
      </c>
      <c r="N523" s="9">
        <v>0</v>
      </c>
      <c r="O523" s="9">
        <v>0</v>
      </c>
      <c r="P523" s="9">
        <v>0</v>
      </c>
      <c r="Q523" s="9">
        <v>0</v>
      </c>
      <c r="R523" s="9">
        <v>0</v>
      </c>
      <c r="S523" s="9"/>
      <c r="T523" s="8"/>
      <c r="U523" s="8" t="s">
        <v>301</v>
      </c>
      <c r="V523" s="8" t="s">
        <v>280</v>
      </c>
      <c r="W523" s="10">
        <v>70</v>
      </c>
      <c r="X523" s="11" t="s">
        <v>1721</v>
      </c>
      <c r="Y523" s="11" t="s">
        <v>1722</v>
      </c>
      <c r="Z523" s="11" t="s">
        <v>1702</v>
      </c>
    </row>
    <row r="524" ht="43.5" customHeight="1" spans="1:26">
      <c r="A524" s="8" t="s">
        <v>219</v>
      </c>
      <c r="B524" s="8" t="s">
        <v>220</v>
      </c>
      <c r="C524" s="8" t="s">
        <v>1723</v>
      </c>
      <c r="D524" s="8" t="s">
        <v>267</v>
      </c>
      <c r="E524" s="8" t="s">
        <v>441</v>
      </c>
      <c r="F524" s="8" t="s">
        <v>278</v>
      </c>
      <c r="G524" s="8" t="s">
        <v>90</v>
      </c>
      <c r="H524" s="8" t="s">
        <v>90</v>
      </c>
      <c r="I524" s="8" t="s">
        <v>90</v>
      </c>
      <c r="J524" s="8" t="s">
        <v>279</v>
      </c>
      <c r="K524" s="8">
        <v>0</v>
      </c>
      <c r="L524" s="8">
        <v>8</v>
      </c>
      <c r="M524" s="8">
        <v>8</v>
      </c>
      <c r="N524" s="9">
        <v>0</v>
      </c>
      <c r="O524" s="9">
        <v>0</v>
      </c>
      <c r="P524" s="9">
        <v>0</v>
      </c>
      <c r="Q524" s="9">
        <v>0</v>
      </c>
      <c r="R524" s="9">
        <v>0</v>
      </c>
      <c r="S524" s="9"/>
      <c r="T524" s="8"/>
      <c r="U524" s="8" t="s">
        <v>301</v>
      </c>
      <c r="V524" s="8" t="s">
        <v>288</v>
      </c>
      <c r="W524" s="10">
        <v>0</v>
      </c>
      <c r="X524" s="11" t="s">
        <v>1724</v>
      </c>
      <c r="Y524" s="11"/>
      <c r="Z524" s="11"/>
    </row>
    <row r="525" ht="72.5" customHeight="1" spans="1:26">
      <c r="A525" s="8" t="s">
        <v>219</v>
      </c>
      <c r="B525" s="8" t="s">
        <v>220</v>
      </c>
      <c r="C525" s="8" t="s">
        <v>1725</v>
      </c>
      <c r="D525" s="8" t="s">
        <v>1517</v>
      </c>
      <c r="E525" s="8" t="s">
        <v>1726</v>
      </c>
      <c r="F525" s="8" t="s">
        <v>338</v>
      </c>
      <c r="G525" s="8" t="s">
        <v>73</v>
      </c>
      <c r="H525" s="8" t="s">
        <v>73</v>
      </c>
      <c r="I525" s="8" t="s">
        <v>90</v>
      </c>
      <c r="J525" s="8" t="s">
        <v>279</v>
      </c>
      <c r="K525" s="8">
        <v>0</v>
      </c>
      <c r="L525" s="8">
        <v>0</v>
      </c>
      <c r="M525" s="8">
        <v>8</v>
      </c>
      <c r="N525" s="9">
        <v>0</v>
      </c>
      <c r="O525" s="9">
        <v>0</v>
      </c>
      <c r="P525" s="9">
        <v>0</v>
      </c>
      <c r="Q525" s="9">
        <v>0</v>
      </c>
      <c r="R525" s="9">
        <v>0</v>
      </c>
      <c r="S525" s="9"/>
      <c r="T525" s="8"/>
      <c r="U525" s="8" t="s">
        <v>301</v>
      </c>
      <c r="V525" s="8" t="s">
        <v>280</v>
      </c>
      <c r="W525" s="10">
        <v>30</v>
      </c>
      <c r="X525" s="11" t="s">
        <v>1727</v>
      </c>
      <c r="Y525" s="11" t="s">
        <v>1728</v>
      </c>
      <c r="Z525" s="11" t="s">
        <v>1729</v>
      </c>
    </row>
    <row r="526" ht="43.5" customHeight="1" spans="1:26">
      <c r="A526" s="8" t="s">
        <v>219</v>
      </c>
      <c r="B526" s="8" t="s">
        <v>220</v>
      </c>
      <c r="C526" s="8" t="s">
        <v>1730</v>
      </c>
      <c r="D526" s="8" t="s">
        <v>1517</v>
      </c>
      <c r="E526" s="8" t="s">
        <v>1731</v>
      </c>
      <c r="F526" s="8" t="s">
        <v>338</v>
      </c>
      <c r="G526" s="8" t="s">
        <v>73</v>
      </c>
      <c r="H526" s="8" t="s">
        <v>73</v>
      </c>
      <c r="I526" s="8" t="s">
        <v>90</v>
      </c>
      <c r="J526" s="8" t="s">
        <v>279</v>
      </c>
      <c r="K526" s="8">
        <v>0</v>
      </c>
      <c r="L526" s="8">
        <v>0</v>
      </c>
      <c r="M526" s="8">
        <v>8</v>
      </c>
      <c r="N526" s="9">
        <v>0</v>
      </c>
      <c r="O526" s="9">
        <v>0</v>
      </c>
      <c r="P526" s="9">
        <v>0</v>
      </c>
      <c r="Q526" s="9">
        <v>0</v>
      </c>
      <c r="R526" s="9">
        <v>0</v>
      </c>
      <c r="S526" s="9"/>
      <c r="T526" s="8"/>
      <c r="U526" s="8" t="s">
        <v>301</v>
      </c>
      <c r="V526" s="8" t="s">
        <v>280</v>
      </c>
      <c r="W526" s="10">
        <v>30</v>
      </c>
      <c r="X526" s="11" t="s">
        <v>1732</v>
      </c>
      <c r="Y526" s="11" t="s">
        <v>1733</v>
      </c>
      <c r="Z526" s="11" t="s">
        <v>1729</v>
      </c>
    </row>
    <row r="527" ht="43.5" customHeight="1" spans="1:26">
      <c r="A527" s="8" t="s">
        <v>219</v>
      </c>
      <c r="B527" s="8" t="s">
        <v>220</v>
      </c>
      <c r="C527" s="8" t="s">
        <v>1734</v>
      </c>
      <c r="D527" s="8" t="s">
        <v>336</v>
      </c>
      <c r="E527" s="8" t="s">
        <v>337</v>
      </c>
      <c r="F527" s="8" t="s">
        <v>338</v>
      </c>
      <c r="G527" s="8" t="s">
        <v>73</v>
      </c>
      <c r="H527" s="8" t="s">
        <v>73</v>
      </c>
      <c r="I527" s="8" t="s">
        <v>73</v>
      </c>
      <c r="J527" s="8" t="s">
        <v>279</v>
      </c>
      <c r="K527" s="8">
        <v>0</v>
      </c>
      <c r="L527" s="8">
        <v>0</v>
      </c>
      <c r="M527" s="8">
        <v>8</v>
      </c>
      <c r="N527" s="9">
        <v>0</v>
      </c>
      <c r="O527" s="9">
        <v>0</v>
      </c>
      <c r="P527" s="9">
        <v>0</v>
      </c>
      <c r="Q527" s="9">
        <v>0</v>
      </c>
      <c r="R527" s="9">
        <v>0</v>
      </c>
      <c r="S527" s="9"/>
      <c r="T527" s="8"/>
      <c r="U527" s="8" t="s">
        <v>301</v>
      </c>
      <c r="V527" s="8" t="s">
        <v>280</v>
      </c>
      <c r="W527" s="10">
        <v>30</v>
      </c>
      <c r="X527" s="11" t="s">
        <v>1735</v>
      </c>
      <c r="Y527" s="11" t="s">
        <v>1736</v>
      </c>
      <c r="Z527" s="11" t="s">
        <v>1729</v>
      </c>
    </row>
    <row r="528" ht="183" customHeight="1" spans="1:26">
      <c r="A528" s="8" t="s">
        <v>219</v>
      </c>
      <c r="B528" s="8" t="s">
        <v>220</v>
      </c>
      <c r="C528" s="8" t="s">
        <v>1737</v>
      </c>
      <c r="D528" s="8" t="s">
        <v>336</v>
      </c>
      <c r="E528" s="8" t="s">
        <v>337</v>
      </c>
      <c r="F528" s="8" t="s">
        <v>338</v>
      </c>
      <c r="G528" s="8" t="s">
        <v>73</v>
      </c>
      <c r="H528" s="8" t="s">
        <v>73</v>
      </c>
      <c r="I528" s="8" t="s">
        <v>73</v>
      </c>
      <c r="J528" s="8" t="s">
        <v>279</v>
      </c>
      <c r="K528" s="8">
        <v>0</v>
      </c>
      <c r="L528" s="8">
        <v>0</v>
      </c>
      <c r="M528" s="8">
        <v>8</v>
      </c>
      <c r="N528" s="9">
        <v>0</v>
      </c>
      <c r="O528" s="9">
        <v>0</v>
      </c>
      <c r="P528" s="9">
        <v>0</v>
      </c>
      <c r="Q528" s="9">
        <v>0</v>
      </c>
      <c r="R528" s="9">
        <v>0</v>
      </c>
      <c r="S528" s="9"/>
      <c r="T528" s="8"/>
      <c r="U528" s="8" t="s">
        <v>301</v>
      </c>
      <c r="V528" s="8" t="s">
        <v>280</v>
      </c>
      <c r="W528" s="10">
        <v>30</v>
      </c>
      <c r="X528" s="11" t="s">
        <v>1738</v>
      </c>
      <c r="Y528" s="11" t="s">
        <v>1739</v>
      </c>
      <c r="Z528" s="11" t="s">
        <v>1729</v>
      </c>
    </row>
    <row r="529" ht="152" customHeight="1" spans="1:26">
      <c r="A529" s="8" t="s">
        <v>202</v>
      </c>
      <c r="B529" s="8" t="s">
        <v>99</v>
      </c>
      <c r="C529" s="8" t="s">
        <v>1740</v>
      </c>
      <c r="D529" s="8" t="s">
        <v>267</v>
      </c>
      <c r="E529" s="8" t="s">
        <v>268</v>
      </c>
      <c r="F529" s="8" t="s">
        <v>269</v>
      </c>
      <c r="G529" s="8" t="s">
        <v>90</v>
      </c>
      <c r="H529" s="8" t="s">
        <v>90</v>
      </c>
      <c r="I529" s="8" t="s">
        <v>90</v>
      </c>
      <c r="J529" s="8" t="s">
        <v>270</v>
      </c>
      <c r="K529" s="8">
        <v>8</v>
      </c>
      <c r="L529" s="8">
        <v>0</v>
      </c>
      <c r="M529" s="8">
        <v>8</v>
      </c>
      <c r="N529" s="9">
        <v>44</v>
      </c>
      <c r="O529" s="9">
        <v>24</v>
      </c>
      <c r="P529" s="9">
        <v>48</v>
      </c>
      <c r="Q529" s="9">
        <v>60</v>
      </c>
      <c r="R529" s="9">
        <v>48</v>
      </c>
      <c r="S529" s="9">
        <v>60</v>
      </c>
      <c r="T529" s="8"/>
      <c r="U529" s="8" t="s">
        <v>280</v>
      </c>
      <c r="V529" s="8" t="s">
        <v>271</v>
      </c>
      <c r="W529" s="10">
        <v>100</v>
      </c>
      <c r="X529" s="11" t="s">
        <v>1741</v>
      </c>
      <c r="Y529" s="11" t="s">
        <v>1742</v>
      </c>
      <c r="Z529" s="11" t="s">
        <v>1743</v>
      </c>
    </row>
    <row r="530" ht="152" customHeight="1" spans="1:26">
      <c r="A530" s="8" t="s">
        <v>202</v>
      </c>
      <c r="B530" s="8" t="s">
        <v>99</v>
      </c>
      <c r="C530" s="8" t="s">
        <v>1744</v>
      </c>
      <c r="D530" s="8" t="s">
        <v>267</v>
      </c>
      <c r="E530" s="8" t="s">
        <v>277</v>
      </c>
      <c r="F530" s="8" t="s">
        <v>278</v>
      </c>
      <c r="G530" s="8" t="s">
        <v>90</v>
      </c>
      <c r="H530" s="8" t="s">
        <v>90</v>
      </c>
      <c r="I530" s="8" t="s">
        <v>90</v>
      </c>
      <c r="J530" s="8" t="s">
        <v>279</v>
      </c>
      <c r="K530" s="8">
        <v>0</v>
      </c>
      <c r="L530" s="8">
        <v>16</v>
      </c>
      <c r="M530" s="8">
        <v>16</v>
      </c>
      <c r="N530" s="9">
        <v>12</v>
      </c>
      <c r="O530" s="9">
        <v>24</v>
      </c>
      <c r="P530" s="9">
        <v>20</v>
      </c>
      <c r="Q530" s="9">
        <v>12</v>
      </c>
      <c r="R530" s="9">
        <v>40</v>
      </c>
      <c r="S530" s="9">
        <v>52</v>
      </c>
      <c r="T530" s="8"/>
      <c r="U530" s="8" t="s">
        <v>280</v>
      </c>
      <c r="V530" s="8" t="s">
        <v>271</v>
      </c>
      <c r="W530" s="10">
        <v>60</v>
      </c>
      <c r="X530" s="11" t="s">
        <v>1745</v>
      </c>
      <c r="Y530" s="11" t="s">
        <v>1746</v>
      </c>
      <c r="Z530" s="11" t="s">
        <v>1747</v>
      </c>
    </row>
    <row r="531" ht="152" customHeight="1" spans="1:26">
      <c r="A531" s="8" t="s">
        <v>202</v>
      </c>
      <c r="B531" s="8" t="s">
        <v>99</v>
      </c>
      <c r="C531" s="8" t="s">
        <v>1748</v>
      </c>
      <c r="D531" s="8" t="s">
        <v>267</v>
      </c>
      <c r="E531" s="8" t="s">
        <v>277</v>
      </c>
      <c r="F531" s="8" t="s">
        <v>278</v>
      </c>
      <c r="G531" s="8" t="s">
        <v>90</v>
      </c>
      <c r="H531" s="8" t="s">
        <v>90</v>
      </c>
      <c r="I531" s="8" t="s">
        <v>90</v>
      </c>
      <c r="J531" s="8" t="s">
        <v>279</v>
      </c>
      <c r="K531" s="8">
        <v>0</v>
      </c>
      <c r="L531" s="8">
        <v>16</v>
      </c>
      <c r="M531" s="8">
        <v>16</v>
      </c>
      <c r="N531" s="9">
        <v>36</v>
      </c>
      <c r="O531" s="9">
        <v>28</v>
      </c>
      <c r="P531" s="9">
        <v>36</v>
      </c>
      <c r="Q531" s="9">
        <v>36</v>
      </c>
      <c r="R531" s="9">
        <v>36</v>
      </c>
      <c r="S531" s="9">
        <v>44</v>
      </c>
      <c r="T531" s="8"/>
      <c r="U531" s="8" t="s">
        <v>280</v>
      </c>
      <c r="V531" s="8" t="s">
        <v>271</v>
      </c>
      <c r="W531" s="10">
        <v>60</v>
      </c>
      <c r="X531" s="11" t="s">
        <v>1749</v>
      </c>
      <c r="Y531" s="11" t="s">
        <v>1750</v>
      </c>
      <c r="Z531" s="11" t="s">
        <v>1751</v>
      </c>
    </row>
    <row r="532" ht="152" customHeight="1" spans="1:26">
      <c r="A532" s="8" t="s">
        <v>202</v>
      </c>
      <c r="B532" s="8" t="s">
        <v>99</v>
      </c>
      <c r="C532" s="8" t="s">
        <v>1752</v>
      </c>
      <c r="D532" s="8" t="s">
        <v>267</v>
      </c>
      <c r="E532" s="8" t="s">
        <v>277</v>
      </c>
      <c r="F532" s="8" t="s">
        <v>278</v>
      </c>
      <c r="G532" s="8" t="s">
        <v>90</v>
      </c>
      <c r="H532" s="8" t="s">
        <v>90</v>
      </c>
      <c r="I532" s="8" t="s">
        <v>90</v>
      </c>
      <c r="J532" s="8" t="s">
        <v>279</v>
      </c>
      <c r="K532" s="8">
        <v>0</v>
      </c>
      <c r="L532" s="8">
        <v>16</v>
      </c>
      <c r="M532" s="8">
        <v>16</v>
      </c>
      <c r="N532" s="9">
        <v>12</v>
      </c>
      <c r="O532" s="9">
        <v>28</v>
      </c>
      <c r="P532" s="9">
        <v>36</v>
      </c>
      <c r="Q532" s="9">
        <v>28</v>
      </c>
      <c r="R532" s="9">
        <v>24</v>
      </c>
      <c r="S532" s="9">
        <v>40</v>
      </c>
      <c r="T532" s="8"/>
      <c r="U532" s="8" t="s">
        <v>288</v>
      </c>
      <c r="V532" s="8" t="s">
        <v>280</v>
      </c>
      <c r="W532" s="10">
        <v>60</v>
      </c>
      <c r="X532" s="11" t="s">
        <v>1745</v>
      </c>
      <c r="Y532" s="11" t="s">
        <v>1746</v>
      </c>
      <c r="Z532" s="11" t="s">
        <v>1747</v>
      </c>
    </row>
    <row r="533" ht="152" customHeight="1" spans="1:26">
      <c r="A533" s="8" t="s">
        <v>202</v>
      </c>
      <c r="B533" s="8" t="s">
        <v>99</v>
      </c>
      <c r="C533" s="8" t="s">
        <v>1753</v>
      </c>
      <c r="D533" s="8" t="s">
        <v>285</v>
      </c>
      <c r="E533" s="8" t="s">
        <v>286</v>
      </c>
      <c r="F533" s="8" t="s">
        <v>287</v>
      </c>
      <c r="G533" s="8" t="s">
        <v>90</v>
      </c>
      <c r="H533" s="8" t="s">
        <v>90</v>
      </c>
      <c r="I533" s="8" t="s">
        <v>90</v>
      </c>
      <c r="J533" s="8" t="s">
        <v>293</v>
      </c>
      <c r="K533" s="8">
        <v>8</v>
      </c>
      <c r="L533" s="8">
        <v>0</v>
      </c>
      <c r="M533" s="8">
        <v>8</v>
      </c>
      <c r="N533" s="9">
        <v>0</v>
      </c>
      <c r="O533" s="9">
        <v>0</v>
      </c>
      <c r="P533" s="9">
        <v>0</v>
      </c>
      <c r="Q533" s="9">
        <v>4</v>
      </c>
      <c r="R533" s="9">
        <v>16</v>
      </c>
      <c r="S533" s="9">
        <v>20</v>
      </c>
      <c r="T533" s="8"/>
      <c r="U533" s="8" t="s">
        <v>288</v>
      </c>
      <c r="V533" s="8" t="s">
        <v>280</v>
      </c>
      <c r="W533" s="10">
        <v>40</v>
      </c>
      <c r="X533" s="11" t="s">
        <v>1754</v>
      </c>
      <c r="Y533" s="11" t="s">
        <v>1755</v>
      </c>
      <c r="Z533" s="11" t="s">
        <v>1751</v>
      </c>
    </row>
    <row r="534" ht="13" customHeight="1" spans="1:26">
      <c r="A534" s="8" t="s">
        <v>202</v>
      </c>
      <c r="B534" s="8" t="s">
        <v>99</v>
      </c>
      <c r="C534" s="8" t="s">
        <v>1756</v>
      </c>
      <c r="D534" s="8" t="s">
        <v>267</v>
      </c>
      <c r="E534" s="8" t="s">
        <v>277</v>
      </c>
      <c r="F534" s="8" t="s">
        <v>278</v>
      </c>
      <c r="G534" s="8" t="s">
        <v>90</v>
      </c>
      <c r="H534" s="8" t="s">
        <v>90</v>
      </c>
      <c r="I534" s="8" t="s">
        <v>90</v>
      </c>
      <c r="J534" s="8" t="s">
        <v>279</v>
      </c>
      <c r="K534" s="8">
        <v>0</v>
      </c>
      <c r="L534" s="8">
        <v>8</v>
      </c>
      <c r="M534" s="8">
        <v>8</v>
      </c>
      <c r="N534" s="9">
        <v>20</v>
      </c>
      <c r="O534" s="9">
        <v>4</v>
      </c>
      <c r="P534" s="9">
        <v>4</v>
      </c>
      <c r="Q534" s="9">
        <v>4</v>
      </c>
      <c r="R534" s="9">
        <v>8</v>
      </c>
      <c r="S534" s="9">
        <v>4</v>
      </c>
      <c r="T534" s="8"/>
      <c r="U534" s="8" t="s">
        <v>288</v>
      </c>
      <c r="V534" s="8" t="s">
        <v>280</v>
      </c>
      <c r="W534" s="10">
        <v>12</v>
      </c>
      <c r="X534" s="11" t="s">
        <v>1745</v>
      </c>
      <c r="Y534" s="11" t="s">
        <v>1757</v>
      </c>
      <c r="Z534" s="11" t="s">
        <v>1758</v>
      </c>
    </row>
    <row r="535" ht="152" customHeight="1" spans="1:26">
      <c r="A535" s="8" t="s">
        <v>202</v>
      </c>
      <c r="B535" s="8" t="s">
        <v>99</v>
      </c>
      <c r="C535" s="8" t="s">
        <v>1759</v>
      </c>
      <c r="D535" s="8" t="s">
        <v>267</v>
      </c>
      <c r="E535" s="8" t="s">
        <v>277</v>
      </c>
      <c r="F535" s="8" t="s">
        <v>278</v>
      </c>
      <c r="G535" s="8" t="s">
        <v>90</v>
      </c>
      <c r="H535" s="8" t="s">
        <v>90</v>
      </c>
      <c r="I535" s="8" t="s">
        <v>90</v>
      </c>
      <c r="J535" s="8" t="s">
        <v>279</v>
      </c>
      <c r="K535" s="8">
        <v>0</v>
      </c>
      <c r="L535" s="8">
        <v>8</v>
      </c>
      <c r="M535" s="8">
        <v>8</v>
      </c>
      <c r="N535" s="9">
        <v>4</v>
      </c>
      <c r="O535" s="9">
        <v>0</v>
      </c>
      <c r="P535" s="9">
        <v>12</v>
      </c>
      <c r="Q535" s="9">
        <v>4</v>
      </c>
      <c r="R535" s="9">
        <v>4</v>
      </c>
      <c r="S535" s="9">
        <v>8</v>
      </c>
      <c r="T535" s="8"/>
      <c r="U535" s="8" t="s">
        <v>288</v>
      </c>
      <c r="V535" s="8" t="s">
        <v>280</v>
      </c>
      <c r="W535" s="10">
        <v>12</v>
      </c>
      <c r="X535" s="11" t="s">
        <v>1745</v>
      </c>
      <c r="Y535" s="11" t="s">
        <v>1757</v>
      </c>
      <c r="Z535" s="11" t="s">
        <v>1747</v>
      </c>
    </row>
    <row r="536" ht="152" customHeight="1" spans="1:26">
      <c r="A536" s="8" t="s">
        <v>202</v>
      </c>
      <c r="B536" s="8" t="s">
        <v>99</v>
      </c>
      <c r="C536" s="8" t="s">
        <v>1760</v>
      </c>
      <c r="D536" s="8" t="s">
        <v>285</v>
      </c>
      <c r="E536" s="8" t="s">
        <v>286</v>
      </c>
      <c r="F536" s="8" t="s">
        <v>287</v>
      </c>
      <c r="G536" s="8" t="s">
        <v>73</v>
      </c>
      <c r="H536" s="8" t="s">
        <v>73</v>
      </c>
      <c r="I536" s="8" t="s">
        <v>90</v>
      </c>
      <c r="J536" s="8" t="s">
        <v>293</v>
      </c>
      <c r="K536" s="8">
        <v>8</v>
      </c>
      <c r="L536" s="8">
        <v>0</v>
      </c>
      <c r="M536" s="8">
        <v>8</v>
      </c>
      <c r="N536" s="9">
        <v>0</v>
      </c>
      <c r="O536" s="9">
        <v>0</v>
      </c>
      <c r="P536" s="9">
        <v>0</v>
      </c>
      <c r="Q536" s="9">
        <v>0</v>
      </c>
      <c r="R536" s="9">
        <v>0</v>
      </c>
      <c r="S536" s="9">
        <v>0</v>
      </c>
      <c r="T536" s="8"/>
      <c r="U536" s="8" t="s">
        <v>301</v>
      </c>
      <c r="V536" s="8" t="s">
        <v>288</v>
      </c>
      <c r="W536" s="10">
        <v>4</v>
      </c>
      <c r="X536" s="11" t="s">
        <v>1761</v>
      </c>
      <c r="Y536" s="11" t="s">
        <v>1762</v>
      </c>
      <c r="Z536" s="11" t="s">
        <v>1763</v>
      </c>
    </row>
    <row r="537" ht="152" customHeight="1" spans="1:26">
      <c r="A537" s="8" t="s">
        <v>202</v>
      </c>
      <c r="B537" s="8" t="s">
        <v>99</v>
      </c>
      <c r="C537" s="8" t="s">
        <v>1764</v>
      </c>
      <c r="D537" s="8" t="s">
        <v>285</v>
      </c>
      <c r="E537" s="8" t="s">
        <v>286</v>
      </c>
      <c r="F537" s="8" t="s">
        <v>287</v>
      </c>
      <c r="G537" s="8" t="s">
        <v>73</v>
      </c>
      <c r="H537" s="8" t="s">
        <v>73</v>
      </c>
      <c r="I537" s="8" t="s">
        <v>90</v>
      </c>
      <c r="J537" s="8" t="s">
        <v>293</v>
      </c>
      <c r="K537" s="8">
        <v>8</v>
      </c>
      <c r="L537" s="8">
        <v>0</v>
      </c>
      <c r="M537" s="8">
        <v>8</v>
      </c>
      <c r="N537" s="9">
        <v>0</v>
      </c>
      <c r="O537" s="9">
        <v>0</v>
      </c>
      <c r="P537" s="9">
        <v>0</v>
      </c>
      <c r="Q537" s="9">
        <v>0</v>
      </c>
      <c r="R537" s="9">
        <v>0</v>
      </c>
      <c r="S537" s="9">
        <v>0</v>
      </c>
      <c r="T537" s="8"/>
      <c r="U537" s="8" t="s">
        <v>301</v>
      </c>
      <c r="V537" s="8" t="s">
        <v>288</v>
      </c>
      <c r="W537" s="10">
        <v>4</v>
      </c>
      <c r="X537" s="11" t="s">
        <v>1761</v>
      </c>
      <c r="Y537" s="11" t="s">
        <v>1762</v>
      </c>
      <c r="Z537" s="11" t="s">
        <v>1747</v>
      </c>
    </row>
    <row r="538" ht="152" customHeight="1" spans="1:26">
      <c r="A538" s="8" t="s">
        <v>202</v>
      </c>
      <c r="B538" s="8" t="s">
        <v>99</v>
      </c>
      <c r="C538" s="8" t="s">
        <v>1765</v>
      </c>
      <c r="D538" s="8" t="s">
        <v>285</v>
      </c>
      <c r="E538" s="8" t="s">
        <v>286</v>
      </c>
      <c r="F538" s="8" t="s">
        <v>287</v>
      </c>
      <c r="G538" s="8" t="s">
        <v>73</v>
      </c>
      <c r="H538" s="8" t="s">
        <v>73</v>
      </c>
      <c r="I538" s="8" t="s">
        <v>90</v>
      </c>
      <c r="J538" s="8" t="s">
        <v>293</v>
      </c>
      <c r="K538" s="8">
        <v>8</v>
      </c>
      <c r="L538" s="8">
        <v>0</v>
      </c>
      <c r="M538" s="8">
        <v>8</v>
      </c>
      <c r="N538" s="9">
        <v>0</v>
      </c>
      <c r="O538" s="9">
        <v>0</v>
      </c>
      <c r="P538" s="9">
        <v>0</v>
      </c>
      <c r="Q538" s="9">
        <v>0</v>
      </c>
      <c r="R538" s="9">
        <v>0</v>
      </c>
      <c r="S538" s="9">
        <v>0</v>
      </c>
      <c r="T538" s="8"/>
      <c r="U538" s="8" t="s">
        <v>301</v>
      </c>
      <c r="V538" s="8" t="s">
        <v>288</v>
      </c>
      <c r="W538" s="10">
        <v>4</v>
      </c>
      <c r="X538" s="11" t="s">
        <v>1761</v>
      </c>
      <c r="Y538" s="11" t="s">
        <v>1762</v>
      </c>
      <c r="Z538" s="11" t="s">
        <v>1747</v>
      </c>
    </row>
    <row r="539" ht="152" customHeight="1" spans="1:26">
      <c r="A539" s="8" t="s">
        <v>202</v>
      </c>
      <c r="B539" s="8" t="s">
        <v>99</v>
      </c>
      <c r="C539" s="8" t="s">
        <v>1766</v>
      </c>
      <c r="D539" s="8" t="s">
        <v>267</v>
      </c>
      <c r="E539" s="8" t="s">
        <v>277</v>
      </c>
      <c r="F539" s="8" t="s">
        <v>278</v>
      </c>
      <c r="G539" s="8" t="s">
        <v>90</v>
      </c>
      <c r="H539" s="8" t="s">
        <v>73</v>
      </c>
      <c r="I539" s="8" t="s">
        <v>90</v>
      </c>
      <c r="J539" s="8" t="s">
        <v>279</v>
      </c>
      <c r="K539" s="8">
        <v>0</v>
      </c>
      <c r="L539" s="8">
        <v>16</v>
      </c>
      <c r="M539" s="8">
        <v>16</v>
      </c>
      <c r="N539" s="9">
        <v>0</v>
      </c>
      <c r="O539" s="9">
        <v>0</v>
      </c>
      <c r="P539" s="9">
        <v>0</v>
      </c>
      <c r="Q539" s="9">
        <v>0</v>
      </c>
      <c r="R539" s="9">
        <v>0</v>
      </c>
      <c r="S539" s="9">
        <v>0</v>
      </c>
      <c r="T539" s="8"/>
      <c r="U539" s="8" t="s">
        <v>301</v>
      </c>
      <c r="V539" s="8" t="s">
        <v>288</v>
      </c>
      <c r="W539" s="10">
        <v>4</v>
      </c>
      <c r="X539" s="11" t="s">
        <v>1745</v>
      </c>
      <c r="Y539" s="11" t="s">
        <v>1757</v>
      </c>
      <c r="Z539" s="11" t="s">
        <v>1747</v>
      </c>
    </row>
    <row r="540" ht="152" customHeight="1" spans="1:26">
      <c r="A540" s="8" t="s">
        <v>202</v>
      </c>
      <c r="B540" s="8" t="s">
        <v>99</v>
      </c>
      <c r="C540" s="8" t="s">
        <v>1767</v>
      </c>
      <c r="D540" s="8" t="s">
        <v>267</v>
      </c>
      <c r="E540" s="8" t="s">
        <v>277</v>
      </c>
      <c r="F540" s="8" t="s">
        <v>278</v>
      </c>
      <c r="G540" s="8" t="s">
        <v>90</v>
      </c>
      <c r="H540" s="8" t="s">
        <v>73</v>
      </c>
      <c r="I540" s="8" t="s">
        <v>90</v>
      </c>
      <c r="J540" s="8" t="s">
        <v>279</v>
      </c>
      <c r="K540" s="8">
        <v>0</v>
      </c>
      <c r="L540" s="8">
        <v>8</v>
      </c>
      <c r="M540" s="8">
        <v>8</v>
      </c>
      <c r="N540" s="9">
        <v>0</v>
      </c>
      <c r="O540" s="9">
        <v>0</v>
      </c>
      <c r="P540" s="9">
        <v>0</v>
      </c>
      <c r="Q540" s="9">
        <v>0</v>
      </c>
      <c r="R540" s="9">
        <v>0</v>
      </c>
      <c r="S540" s="9">
        <v>0</v>
      </c>
      <c r="T540" s="8"/>
      <c r="U540" s="8" t="s">
        <v>301</v>
      </c>
      <c r="V540" s="8" t="s">
        <v>288</v>
      </c>
      <c r="W540" s="10">
        <v>4</v>
      </c>
      <c r="X540" s="11" t="s">
        <v>1745</v>
      </c>
      <c r="Y540" s="11" t="s">
        <v>1757</v>
      </c>
      <c r="Z540" s="11" t="s">
        <v>1747</v>
      </c>
    </row>
    <row r="541" ht="152" customHeight="1" spans="1:26">
      <c r="A541" s="8" t="s">
        <v>202</v>
      </c>
      <c r="B541" s="8" t="s">
        <v>99</v>
      </c>
      <c r="C541" s="8" t="s">
        <v>1768</v>
      </c>
      <c r="D541" s="8" t="s">
        <v>267</v>
      </c>
      <c r="E541" s="8" t="s">
        <v>277</v>
      </c>
      <c r="F541" s="8" t="s">
        <v>278</v>
      </c>
      <c r="G541" s="8" t="s">
        <v>90</v>
      </c>
      <c r="H541" s="8" t="s">
        <v>90</v>
      </c>
      <c r="I541" s="8" t="s">
        <v>90</v>
      </c>
      <c r="J541" s="8" t="s">
        <v>279</v>
      </c>
      <c r="K541" s="8">
        <v>0</v>
      </c>
      <c r="L541" s="8">
        <v>8</v>
      </c>
      <c r="M541" s="8">
        <v>8</v>
      </c>
      <c r="N541" s="9">
        <v>0</v>
      </c>
      <c r="O541" s="9">
        <v>4</v>
      </c>
      <c r="P541" s="9">
        <v>4</v>
      </c>
      <c r="Q541" s="9">
        <v>4</v>
      </c>
      <c r="R541" s="9">
        <v>0</v>
      </c>
      <c r="S541" s="9">
        <v>8</v>
      </c>
      <c r="T541" s="8"/>
      <c r="U541" s="8" t="s">
        <v>301</v>
      </c>
      <c r="V541" s="8" t="s">
        <v>288</v>
      </c>
      <c r="W541" s="10">
        <v>12</v>
      </c>
      <c r="X541" s="11" t="s">
        <v>1745</v>
      </c>
      <c r="Y541" s="11" t="s">
        <v>1757</v>
      </c>
      <c r="Z541" s="11" t="s">
        <v>1747</v>
      </c>
    </row>
    <row r="542" ht="152" customHeight="1" spans="1:26">
      <c r="A542" s="8" t="s">
        <v>202</v>
      </c>
      <c r="B542" s="8" t="s">
        <v>99</v>
      </c>
      <c r="C542" s="8" t="s">
        <v>1769</v>
      </c>
      <c r="D542" s="8" t="s">
        <v>267</v>
      </c>
      <c r="E542" s="8" t="s">
        <v>277</v>
      </c>
      <c r="F542" s="8" t="s">
        <v>278</v>
      </c>
      <c r="G542" s="8" t="s">
        <v>90</v>
      </c>
      <c r="H542" s="8" t="s">
        <v>73</v>
      </c>
      <c r="I542" s="8" t="s">
        <v>90</v>
      </c>
      <c r="J542" s="8" t="s">
        <v>279</v>
      </c>
      <c r="K542" s="8">
        <v>0</v>
      </c>
      <c r="L542" s="8">
        <v>4</v>
      </c>
      <c r="M542" s="8">
        <v>4</v>
      </c>
      <c r="N542" s="9">
        <v>8</v>
      </c>
      <c r="O542" s="9">
        <v>12</v>
      </c>
      <c r="P542" s="9">
        <v>0</v>
      </c>
      <c r="Q542" s="9">
        <v>0</v>
      </c>
      <c r="R542" s="9">
        <v>0</v>
      </c>
      <c r="S542" s="9">
        <v>4</v>
      </c>
      <c r="T542" s="8"/>
      <c r="U542" s="8" t="s">
        <v>301</v>
      </c>
      <c r="V542" s="8" t="s">
        <v>288</v>
      </c>
      <c r="W542" s="10">
        <v>12</v>
      </c>
      <c r="X542" s="11" t="s">
        <v>1745</v>
      </c>
      <c r="Y542" s="11" t="s">
        <v>1757</v>
      </c>
      <c r="Z542" s="11" t="s">
        <v>1747</v>
      </c>
    </row>
  </sheetData>
  <autoFilter xmlns:etc="http://www.wps.cn/officeDocument/2017/etCustomData" ref="A3:Z542" etc:filterBottomFollowUsedRange="0">
    <sortState ref="A4:Z542">
      <sortCondition ref="A3"/>
    </sortState>
    <extLst/>
  </autoFilter>
  <mergeCells count="1">
    <mergeCell ref="X1:Z1"/>
  </mergeCells>
  <pageMargins left="0.7" right="0.7" top="0.75" bottom="0.75" header="0.3" footer="0.3"/>
  <headerFooter/>
  <extLst>
    <ext xmlns:x14="http://schemas.microsoft.com/office/spreadsheetml/2009/9/main" uri="{05C60535-1F16-4fd2-B633-F4F36F0B64E0}">
      <x14:sparklineGroups xmlns:xm="http://schemas.microsoft.com/office/excel/2006/main">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'top&amp;core医院客户DDD'!N4:S4</xm:f>
              <xm:sqref>T4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'top&amp;core医院客户DDD'!N5:S5</xm:f>
              <xm:sqref>T5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'top&amp;core医院客户DDD'!N6:S6</xm:f>
              <xm:sqref>T6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'top&amp;core医院客户DDD'!N7:S7</xm:f>
              <xm:sqref>T7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'top&amp;core医院客户DDD'!N8:S8</xm:f>
              <xm:sqref>T8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'top&amp;core医院客户DDD'!N9:S9</xm:f>
              <xm:sqref>T9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'top&amp;core医院客户DDD'!N10:S10</xm:f>
              <xm:sqref>T10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'top&amp;core医院客户DDD'!N11:S11</xm:f>
              <xm:sqref>T11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'top&amp;core医院客户DDD'!N12:S12</xm:f>
              <xm:sqref>T12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'top&amp;core医院客户DDD'!N13:S13</xm:f>
              <xm:sqref>T13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'top&amp;core医院客户DDD'!N14:S14</xm:f>
              <xm:sqref>T14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'top&amp;core医院客户DDD'!N15:S15</xm:f>
              <xm:sqref>T15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'top&amp;core医院客户DDD'!N16:S16</xm:f>
              <xm:sqref>T16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'top&amp;core医院客户DDD'!N17:S17</xm:f>
              <xm:sqref>T17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'top&amp;core医院客户DDD'!N18:S18</xm:f>
              <xm:sqref>T18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'top&amp;core医院客户DDD'!N19:S19</xm:f>
              <xm:sqref>T19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'top&amp;core医院客户DDD'!N20:S20</xm:f>
              <xm:sqref>T20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'top&amp;core医院客户DDD'!N21:S21</xm:f>
              <xm:sqref>T21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'top&amp;core医院客户DDD'!N22:S22</xm:f>
              <xm:sqref>T22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'top&amp;core医院客户DDD'!N23:S23</xm:f>
              <xm:sqref>T23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'top&amp;core医院客户DDD'!N24:S24</xm:f>
              <xm:sqref>T24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'top&amp;core医院客户DDD'!N25:S25</xm:f>
              <xm:sqref>T25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'top&amp;core医院客户DDD'!N26:S26</xm:f>
              <xm:sqref>T26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'top&amp;core医院客户DDD'!N27:S27</xm:f>
              <xm:sqref>T27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'top&amp;core医院客户DDD'!N28:S28</xm:f>
              <xm:sqref>T28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'top&amp;core医院客户DDD'!N29:S29</xm:f>
              <xm:sqref>T29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'top&amp;core医院客户DDD'!N30:S30</xm:f>
              <xm:sqref>T30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'top&amp;core医院客户DDD'!N31:S31</xm:f>
              <xm:sqref>T31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'top&amp;core医院客户DDD'!N32:S32</xm:f>
              <xm:sqref>T32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'top&amp;core医院客户DDD'!N33:S33</xm:f>
              <xm:sqref>T33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'top&amp;core医院客户DDD'!N34:S34</xm:f>
              <xm:sqref>T34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'top&amp;core医院客户DDD'!N35:S35</xm:f>
              <xm:sqref>T35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'top&amp;core医院客户DDD'!N36:S36</xm:f>
              <xm:sqref>T36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'top&amp;core医院客户DDD'!N37:S37</xm:f>
              <xm:sqref>T37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'top&amp;core医院客户DDD'!N38:S38</xm:f>
              <xm:sqref>T38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'top&amp;core医院客户DDD'!N39:S39</xm:f>
              <xm:sqref>T39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'top&amp;core医院客户DDD'!N40:S40</xm:f>
              <xm:sqref>T40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'top&amp;core医院客户DDD'!N41:S41</xm:f>
              <xm:sqref>T41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'top&amp;core医院客户DDD'!N42:S42</xm:f>
              <xm:sqref>T42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'top&amp;core医院客户DDD'!N43:S43</xm:f>
              <xm:sqref>T43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'top&amp;core医院客户DDD'!N44:S44</xm:f>
              <xm:sqref>T44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'top&amp;core医院客户DDD'!N45:S45</xm:f>
              <xm:sqref>T45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'top&amp;core医院客户DDD'!N46:S46</xm:f>
              <xm:sqref>T46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'top&amp;core医院客户DDD'!N47:S47</xm:f>
              <xm:sqref>T47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'top&amp;core医院客户DDD'!N48:S48</xm:f>
              <xm:sqref>T48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'top&amp;core医院客户DDD'!N49:S49</xm:f>
              <xm:sqref>T49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'top&amp;core医院客户DDD'!N50:S50</xm:f>
              <xm:sqref>T50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'top&amp;core医院客户DDD'!N51:S51</xm:f>
              <xm:sqref>T51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'top&amp;core医院客户DDD'!N52:S52</xm:f>
              <xm:sqref>T52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'top&amp;core医院客户DDD'!N53:S53</xm:f>
              <xm:sqref>T53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'top&amp;core医院客户DDD'!N54:S54</xm:f>
              <xm:sqref>T54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'top&amp;core医院客户DDD'!N55:S55</xm:f>
              <xm:sqref>T55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'top&amp;core医院客户DDD'!N56:S56</xm:f>
              <xm:sqref>T56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'top&amp;core医院客户DDD'!N57:S57</xm:f>
              <xm:sqref>T57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'top&amp;core医院客户DDD'!N58:S58</xm:f>
              <xm:sqref>T58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'top&amp;core医院客户DDD'!N59:S59</xm:f>
              <xm:sqref>T59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'top&amp;core医院客户DDD'!N60:S60</xm:f>
              <xm:sqref>T60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'top&amp;core医院客户DDD'!N61:S61</xm:f>
              <xm:sqref>T61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'top&amp;core医院客户DDD'!N62:S62</xm:f>
              <xm:sqref>T62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'top&amp;core医院客户DDD'!N63:S63</xm:f>
              <xm:sqref>T63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'top&amp;core医院客户DDD'!N64:S64</xm:f>
              <xm:sqref>T64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'top&amp;core医院客户DDD'!N65:S65</xm:f>
              <xm:sqref>T65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'top&amp;core医院客户DDD'!N66:S66</xm:f>
              <xm:sqref>T66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'top&amp;core医院客户DDD'!N67:S67</xm:f>
              <xm:sqref>T67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'top&amp;core医院客户DDD'!N68:S68</xm:f>
              <xm:sqref>T68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'top&amp;core医院客户DDD'!N69:S69</xm:f>
              <xm:sqref>T69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'top&amp;core医院客户DDD'!N70:S70</xm:f>
              <xm:sqref>T70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'top&amp;core医院客户DDD'!N71:S71</xm:f>
              <xm:sqref>T71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'top&amp;core医院客户DDD'!N72:S72</xm:f>
              <xm:sqref>T72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'top&amp;core医院客户DDD'!N73:S73</xm:f>
              <xm:sqref>T73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'top&amp;core医院客户DDD'!N74:S74</xm:f>
              <xm:sqref>T74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'top&amp;core医院客户DDD'!N75:S75</xm:f>
              <xm:sqref>T75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'top&amp;core医院客户DDD'!N76:S76</xm:f>
              <xm:sqref>T76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'top&amp;core医院客户DDD'!N77:S77</xm:f>
              <xm:sqref>T77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'top&amp;core医院客户DDD'!N78:S78</xm:f>
              <xm:sqref>T78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'top&amp;core医院客户DDD'!N79:S79</xm:f>
              <xm:sqref>T79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'top&amp;core医院客户DDD'!N80:S80</xm:f>
              <xm:sqref>T80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'top&amp;core医院客户DDD'!N81:S81</xm:f>
              <xm:sqref>T81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'top&amp;core医院客户DDD'!N82:S82</xm:f>
              <xm:sqref>T82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'top&amp;core医院客户DDD'!N83:S83</xm:f>
              <xm:sqref>T83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'top&amp;core医院客户DDD'!N84:S84</xm:f>
              <xm:sqref>T84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'top&amp;core医院客户DDD'!N85:S85</xm:f>
              <xm:sqref>T85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'top&amp;core医院客户DDD'!N86:S86</xm:f>
              <xm:sqref>T86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'top&amp;core医院客户DDD'!N87:S87</xm:f>
              <xm:sqref>T87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'top&amp;core医院客户DDD'!N88:S88</xm:f>
              <xm:sqref>T88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'top&amp;core医院客户DDD'!N89:S89</xm:f>
              <xm:sqref>T89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'top&amp;core医院客户DDD'!N90:S90</xm:f>
              <xm:sqref>T90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'top&amp;core医院客户DDD'!N91:S91</xm:f>
              <xm:sqref>T91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'top&amp;core医院客户DDD'!N92:S92</xm:f>
              <xm:sqref>T92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'top&amp;core医院客户DDD'!N93:S93</xm:f>
              <xm:sqref>T93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'top&amp;core医院客户DDD'!N94:S94</xm:f>
              <xm:sqref>T94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'top&amp;core医院客户DDD'!N95:S95</xm:f>
              <xm:sqref>T95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'top&amp;core医院客户DDD'!N96:S96</xm:f>
              <xm:sqref>T96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'top&amp;core医院客户DDD'!N97:S97</xm:f>
              <xm:sqref>T97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'top&amp;core医院客户DDD'!N98:S98</xm:f>
              <xm:sqref>T98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'top&amp;core医院客户DDD'!N99:S99</xm:f>
              <xm:sqref>T99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'top&amp;core医院客户DDD'!N100:S100</xm:f>
              <xm:sqref>T100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'top&amp;core医院客户DDD'!N101:S101</xm:f>
              <xm:sqref>T101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'top&amp;core医院客户DDD'!N102:S102</xm:f>
              <xm:sqref>T102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'top&amp;core医院客户DDD'!N103:S103</xm:f>
              <xm:sqref>T103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'top&amp;core医院客户DDD'!N104:S104</xm:f>
              <xm:sqref>T104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'top&amp;core医院客户DDD'!N105:S105</xm:f>
              <xm:sqref>T105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'top&amp;core医院客户DDD'!N106:S106</xm:f>
              <xm:sqref>T106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'top&amp;core医院客户DDD'!N107:S107</xm:f>
              <xm:sqref>T107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'top&amp;core医院客户DDD'!N108:S108</xm:f>
              <xm:sqref>T108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'top&amp;core医院客户DDD'!N109:S109</xm:f>
              <xm:sqref>T109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'top&amp;core医院客户DDD'!N110:S110</xm:f>
              <xm:sqref>T110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'top&amp;core医院客户DDD'!N111:S111</xm:f>
              <xm:sqref>T111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'top&amp;core医院客户DDD'!N112:S112</xm:f>
              <xm:sqref>T112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'top&amp;core医院客户DDD'!N113:S113</xm:f>
              <xm:sqref>T113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'top&amp;core医院客户DDD'!N114:S114</xm:f>
              <xm:sqref>T114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'top&amp;core医院客户DDD'!N115:S115</xm:f>
              <xm:sqref>T115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'top&amp;core医院客户DDD'!N116:S116</xm:f>
              <xm:sqref>T116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'top&amp;core医院客户DDD'!N117:S117</xm:f>
              <xm:sqref>T117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'top&amp;core医院客户DDD'!N118:S118</xm:f>
              <xm:sqref>T118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'top&amp;core医院客户DDD'!N119:S119</xm:f>
              <xm:sqref>T119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'top&amp;core医院客户DDD'!N120:S120</xm:f>
              <xm:sqref>T120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'top&amp;core医院客户DDD'!N121:S121</xm:f>
              <xm:sqref>T121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'top&amp;core医院客户DDD'!N122:S122</xm:f>
              <xm:sqref>T122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'top&amp;core医院客户DDD'!N123:S123</xm:f>
              <xm:sqref>T123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'top&amp;core医院客户DDD'!N124:S124</xm:f>
              <xm:sqref>T124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'top&amp;core医院客户DDD'!N125:S125</xm:f>
              <xm:sqref>T125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'top&amp;core医院客户DDD'!N126:S126</xm:f>
              <xm:sqref>T126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'top&amp;core医院客户DDD'!N127:S127</xm:f>
              <xm:sqref>T127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'top&amp;core医院客户DDD'!N128:S128</xm:f>
              <xm:sqref>T128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'top&amp;core医院客户DDD'!N129:S129</xm:f>
              <xm:sqref>T129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'top&amp;core医院客户DDD'!N130:S130</xm:f>
              <xm:sqref>T130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'top&amp;core医院客户DDD'!N131:S131</xm:f>
              <xm:sqref>T131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'top&amp;core医院客户DDD'!N132:S132</xm:f>
              <xm:sqref>T132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'top&amp;core医院客户DDD'!N133:S133</xm:f>
              <xm:sqref>T133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'top&amp;core医院客户DDD'!N134:S134</xm:f>
              <xm:sqref>T134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'top&amp;core医院客户DDD'!N135:S135</xm:f>
              <xm:sqref>T135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'top&amp;core医院客户DDD'!N136:S136</xm:f>
              <xm:sqref>T136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'top&amp;core医院客户DDD'!N137:S137</xm:f>
              <xm:sqref>T137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'top&amp;core医院客户DDD'!N138:S138</xm:f>
              <xm:sqref>T138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'top&amp;core医院客户DDD'!N139:S139</xm:f>
              <xm:sqref>T139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'top&amp;core医院客户DDD'!N140:S140</xm:f>
              <xm:sqref>T140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'top&amp;core医院客户DDD'!N141:S141</xm:f>
              <xm:sqref>T141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'top&amp;core医院客户DDD'!N142:S142</xm:f>
              <xm:sqref>T142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'top&amp;core医院客户DDD'!N143:S143</xm:f>
              <xm:sqref>T143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'top&amp;core医院客户DDD'!N144:S144</xm:f>
              <xm:sqref>T144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'top&amp;core医院客户DDD'!N145:S145</xm:f>
              <xm:sqref>T145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'top&amp;core医院客户DDD'!N146:S146</xm:f>
              <xm:sqref>T146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'top&amp;core医院客户DDD'!N147:S147</xm:f>
              <xm:sqref>T147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'top&amp;core医院客户DDD'!N148:S148</xm:f>
              <xm:sqref>T148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'top&amp;core医院客户DDD'!N149:S149</xm:f>
              <xm:sqref>T149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'top&amp;core医院客户DDD'!N150:S150</xm:f>
              <xm:sqref>T150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'top&amp;core医院客户DDD'!N151:S151</xm:f>
              <xm:sqref>T151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'top&amp;core医院客户DDD'!N152:S152</xm:f>
              <xm:sqref>T152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'top&amp;core医院客户DDD'!N153:S153</xm:f>
              <xm:sqref>T153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'top&amp;core医院客户DDD'!N154:S154</xm:f>
              <xm:sqref>T154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'top&amp;core医院客户DDD'!N155:S155</xm:f>
              <xm:sqref>T155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'top&amp;core医院客户DDD'!N156:S156</xm:f>
              <xm:sqref>T156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'top&amp;core医院客户DDD'!N157:S157</xm:f>
              <xm:sqref>T157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'top&amp;core医院客户DDD'!N158:S158</xm:f>
              <xm:sqref>T158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'top&amp;core医院客户DDD'!N159:S159</xm:f>
              <xm:sqref>T159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'top&amp;core医院客户DDD'!N160:S160</xm:f>
              <xm:sqref>T160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'top&amp;core医院客户DDD'!N161:S161</xm:f>
              <xm:sqref>T161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'top&amp;core医院客户DDD'!N162:S162</xm:f>
              <xm:sqref>T162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'top&amp;core医院客户DDD'!N163:S163</xm:f>
              <xm:sqref>T163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'top&amp;core医院客户DDD'!N164:S164</xm:f>
              <xm:sqref>T164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'top&amp;core医院客户DDD'!N165:S165</xm:f>
              <xm:sqref>T165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'top&amp;core医院客户DDD'!N166:S166</xm:f>
              <xm:sqref>T166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'top&amp;core医院客户DDD'!N167:S167</xm:f>
              <xm:sqref>T167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'top&amp;core医院客户DDD'!N168:S168</xm:f>
              <xm:sqref>T168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'top&amp;core医院客户DDD'!N169:S169</xm:f>
              <xm:sqref>T169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'top&amp;core医院客户DDD'!N170:S170</xm:f>
              <xm:sqref>T170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'top&amp;core医院客户DDD'!N171:S171</xm:f>
              <xm:sqref>T171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'top&amp;core医院客户DDD'!N172:S172</xm:f>
              <xm:sqref>T172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'top&amp;core医院客户DDD'!N173:S173</xm:f>
              <xm:sqref>T173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'top&amp;core医院客户DDD'!N174:S174</xm:f>
              <xm:sqref>T174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'top&amp;core医院客户DDD'!N175:S175</xm:f>
              <xm:sqref>T175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'top&amp;core医院客户DDD'!N176:S176</xm:f>
              <xm:sqref>T176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'top&amp;core医院客户DDD'!N177:S177</xm:f>
              <xm:sqref>T177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'top&amp;core医院客户DDD'!N178:S178</xm:f>
              <xm:sqref>T178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'top&amp;core医院客户DDD'!N179:S179</xm:f>
              <xm:sqref>T179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'top&amp;core医院客户DDD'!N180:S180</xm:f>
              <xm:sqref>T180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'top&amp;core医院客户DDD'!N181:S181</xm:f>
              <xm:sqref>T181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'top&amp;core医院客户DDD'!N182:S182</xm:f>
              <xm:sqref>T182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'top&amp;core医院客户DDD'!N183:S183</xm:f>
              <xm:sqref>T183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'top&amp;core医院客户DDD'!N184:S184</xm:f>
              <xm:sqref>T184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'top&amp;core医院客户DDD'!N185:S185</xm:f>
              <xm:sqref>T185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'top&amp;core医院客户DDD'!N186:S186</xm:f>
              <xm:sqref>T186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'top&amp;core医院客户DDD'!N187:S187</xm:f>
              <xm:sqref>T187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'top&amp;core医院客户DDD'!N188:S188</xm:f>
              <xm:sqref>T188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'top&amp;core医院客户DDD'!N189:S189</xm:f>
              <xm:sqref>T189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'top&amp;core医院客户DDD'!N190:S190</xm:f>
              <xm:sqref>T190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'top&amp;core医院客户DDD'!N191:S191</xm:f>
              <xm:sqref>T191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'top&amp;core医院客户DDD'!N192:S192</xm:f>
              <xm:sqref>T192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'top&amp;core医院客户DDD'!N193:S193</xm:f>
              <xm:sqref>T193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'top&amp;core医院客户DDD'!N194:S194</xm:f>
              <xm:sqref>T194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'top&amp;core医院客户DDD'!N195:S195</xm:f>
              <xm:sqref>T195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'top&amp;core医院客户DDD'!N196:S196</xm:f>
              <xm:sqref>T196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'top&amp;core医院客户DDD'!N197:S197</xm:f>
              <xm:sqref>T197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'top&amp;core医院客户DDD'!N198:S198</xm:f>
              <xm:sqref>T198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'top&amp;core医院客户DDD'!N199:S199</xm:f>
              <xm:sqref>T199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'top&amp;core医院客户DDD'!N200:S200</xm:f>
              <xm:sqref>T200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'top&amp;core医院客户DDD'!N201:S201</xm:f>
              <xm:sqref>T201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'top&amp;core医院客户DDD'!N202:S202</xm:f>
              <xm:sqref>T202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'top&amp;core医院客户DDD'!N203:S203</xm:f>
              <xm:sqref>T203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'top&amp;core医院客户DDD'!N204:S204</xm:f>
              <xm:sqref>T204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'top&amp;core医院客户DDD'!N205:S205</xm:f>
              <xm:sqref>T205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'top&amp;core医院客户DDD'!N206:S206</xm:f>
              <xm:sqref>T206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'top&amp;core医院客户DDD'!N207:S207</xm:f>
              <xm:sqref>T207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'top&amp;core医院客户DDD'!N208:S208</xm:f>
              <xm:sqref>T208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'top&amp;core医院客户DDD'!N209:S209</xm:f>
              <xm:sqref>T209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'top&amp;core医院客户DDD'!N210:S210</xm:f>
              <xm:sqref>T210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'top&amp;core医院客户DDD'!N211:S211</xm:f>
              <xm:sqref>T211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'top&amp;core医院客户DDD'!N212:S212</xm:f>
              <xm:sqref>T212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'top&amp;core医院客户DDD'!N213:S213</xm:f>
              <xm:sqref>T213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'top&amp;core医院客户DDD'!N214:S214</xm:f>
              <xm:sqref>T214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'top&amp;core医院客户DDD'!N215:S215</xm:f>
              <xm:sqref>T215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'top&amp;core医院客户DDD'!N216:S216</xm:f>
              <xm:sqref>T216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'top&amp;core医院客户DDD'!N217:S217</xm:f>
              <xm:sqref>T217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'top&amp;core医院客户DDD'!N218:S218</xm:f>
              <xm:sqref>T218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'top&amp;core医院客户DDD'!N219:S219</xm:f>
              <xm:sqref>T219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'top&amp;core医院客户DDD'!N220:S220</xm:f>
              <xm:sqref>T220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'top&amp;core医院客户DDD'!N221:S221</xm:f>
              <xm:sqref>T221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'top&amp;core医院客户DDD'!N222:S222</xm:f>
              <xm:sqref>T222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'top&amp;core医院客户DDD'!N223:S223</xm:f>
              <xm:sqref>T223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'top&amp;core医院客户DDD'!N224:S224</xm:f>
              <xm:sqref>T224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'top&amp;core医院客户DDD'!N225:S225</xm:f>
              <xm:sqref>T225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'top&amp;core医院客户DDD'!N226:S226</xm:f>
              <xm:sqref>T226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'top&amp;core医院客户DDD'!N227:S227</xm:f>
              <xm:sqref>T227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'top&amp;core医院客户DDD'!N228:S228</xm:f>
              <xm:sqref>T228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'top&amp;core医院客户DDD'!N229:S229</xm:f>
              <xm:sqref>T229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'top&amp;core医院客户DDD'!N230:S230</xm:f>
              <xm:sqref>T230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'top&amp;core医院客户DDD'!N231:S231</xm:f>
              <xm:sqref>T231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'top&amp;core医院客户DDD'!N232:S232</xm:f>
              <xm:sqref>T232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'top&amp;core医院客户DDD'!N233:S233</xm:f>
              <xm:sqref>T233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'top&amp;core医院客户DDD'!N234:S234</xm:f>
              <xm:sqref>T234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'top&amp;core医院客户DDD'!N235:S235</xm:f>
              <xm:sqref>T235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'top&amp;core医院客户DDD'!N236:S236</xm:f>
              <xm:sqref>T236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'top&amp;core医院客户DDD'!N237:S237</xm:f>
              <xm:sqref>T237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'top&amp;core医院客户DDD'!N238:S238</xm:f>
              <xm:sqref>T238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'top&amp;core医院客户DDD'!N239:S239</xm:f>
              <xm:sqref>T239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'top&amp;core医院客户DDD'!N240:S240</xm:f>
              <xm:sqref>T240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'top&amp;core医院客户DDD'!N241:S241</xm:f>
              <xm:sqref>T241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'top&amp;core医院客户DDD'!N242:S242</xm:f>
              <xm:sqref>T242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'top&amp;core医院客户DDD'!N243:S243</xm:f>
              <xm:sqref>T243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'top&amp;core医院客户DDD'!N244:S244</xm:f>
              <xm:sqref>T244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'top&amp;core医院客户DDD'!N245:S245</xm:f>
              <xm:sqref>T245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'top&amp;core医院客户DDD'!N246:S246</xm:f>
              <xm:sqref>T246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'top&amp;core医院客户DDD'!N247:S247</xm:f>
              <xm:sqref>T247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'top&amp;core医院客户DDD'!N248:S248</xm:f>
              <xm:sqref>T248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'top&amp;core医院客户DDD'!N249:S249</xm:f>
              <xm:sqref>T249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'top&amp;core医院客户DDD'!N250:S250</xm:f>
              <xm:sqref>T250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'top&amp;core医院客户DDD'!N251:S251</xm:f>
              <xm:sqref>T251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'top&amp;core医院客户DDD'!N252:S252</xm:f>
              <xm:sqref>T252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'top&amp;core医院客户DDD'!N253:S253</xm:f>
              <xm:sqref>T253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'top&amp;core医院客户DDD'!N254:S254</xm:f>
              <xm:sqref>T254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'top&amp;core医院客户DDD'!N255:S255</xm:f>
              <xm:sqref>T255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'top&amp;core医院客户DDD'!N256:S256</xm:f>
              <xm:sqref>T256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'top&amp;core医院客户DDD'!N257:S257</xm:f>
              <xm:sqref>T257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'top&amp;core医院客户DDD'!N258:S258</xm:f>
              <xm:sqref>T258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'top&amp;core医院客户DDD'!N259:S259</xm:f>
              <xm:sqref>T259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'top&amp;core医院客户DDD'!N260:S260</xm:f>
              <xm:sqref>T260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'top&amp;core医院客户DDD'!N261:S261</xm:f>
              <xm:sqref>T261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'top&amp;core医院客户DDD'!N262:S262</xm:f>
              <xm:sqref>T262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'top&amp;core医院客户DDD'!N263:S263</xm:f>
              <xm:sqref>T263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'top&amp;core医院客户DDD'!N264:S264</xm:f>
              <xm:sqref>T264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'top&amp;core医院客户DDD'!N265:S265</xm:f>
              <xm:sqref>T265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'top&amp;core医院客户DDD'!N266:S266</xm:f>
              <xm:sqref>T266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'top&amp;core医院客户DDD'!N267:S267</xm:f>
              <xm:sqref>T267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'top&amp;core医院客户DDD'!N268:S268</xm:f>
              <xm:sqref>T268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'top&amp;core医院客户DDD'!N269:S269</xm:f>
              <xm:sqref>T269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'top&amp;core医院客户DDD'!N270:S270</xm:f>
              <xm:sqref>T270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'top&amp;core医院客户DDD'!N271:S271</xm:f>
              <xm:sqref>T271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'top&amp;core医院客户DDD'!N272:S272</xm:f>
              <xm:sqref>T272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'top&amp;core医院客户DDD'!N273:S273</xm:f>
              <xm:sqref>T273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'top&amp;core医院客户DDD'!N274:S274</xm:f>
              <xm:sqref>T274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'top&amp;core医院客户DDD'!N275:S275</xm:f>
              <xm:sqref>T275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'top&amp;core医院客户DDD'!N276:S276</xm:f>
              <xm:sqref>T276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'top&amp;core医院客户DDD'!N277:S277</xm:f>
              <xm:sqref>T277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'top&amp;core医院客户DDD'!N278:S278</xm:f>
              <xm:sqref>T278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'top&amp;core医院客户DDD'!N279:S279</xm:f>
              <xm:sqref>T279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'top&amp;core医院客户DDD'!N280:S280</xm:f>
              <xm:sqref>T280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'top&amp;core医院客户DDD'!N281:S281</xm:f>
              <xm:sqref>T281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'top&amp;core医院客户DDD'!N282:S282</xm:f>
              <xm:sqref>T282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'top&amp;core医院客户DDD'!N283:S283</xm:f>
              <xm:sqref>T283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'top&amp;core医院客户DDD'!N284:S284</xm:f>
              <xm:sqref>T284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'top&amp;core医院客户DDD'!N285:S285</xm:f>
              <xm:sqref>T285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'top&amp;core医院客户DDD'!N286:S286</xm:f>
              <xm:sqref>T286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'top&amp;core医院客户DDD'!N287:S287</xm:f>
              <xm:sqref>T287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'top&amp;core医院客户DDD'!N288:S288</xm:f>
              <xm:sqref>T288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'top&amp;core医院客户DDD'!N289:S289</xm:f>
              <xm:sqref>T289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'top&amp;core医院客户DDD'!N290:S290</xm:f>
              <xm:sqref>T290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'top&amp;core医院客户DDD'!N291:S291</xm:f>
              <xm:sqref>T291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'top&amp;core医院客户DDD'!N292:S292</xm:f>
              <xm:sqref>T292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'top&amp;core医院客户DDD'!N293:S293</xm:f>
              <xm:sqref>T293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'top&amp;core医院客户DDD'!N294:S294</xm:f>
              <xm:sqref>T294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'top&amp;core医院客户DDD'!N295:S295</xm:f>
              <xm:sqref>T295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'top&amp;core医院客户DDD'!N296:S296</xm:f>
              <xm:sqref>T296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'top&amp;core医院客户DDD'!N297:S297</xm:f>
              <xm:sqref>T297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'top&amp;core医院客户DDD'!N298:S298</xm:f>
              <xm:sqref>T298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'top&amp;core医院客户DDD'!N299:S299</xm:f>
              <xm:sqref>T299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'top&amp;core医院客户DDD'!N300:S300</xm:f>
              <xm:sqref>T300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'top&amp;core医院客户DDD'!N301:S301</xm:f>
              <xm:sqref>T301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'top&amp;core医院客户DDD'!N302:S302</xm:f>
              <xm:sqref>T302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'top&amp;core医院客户DDD'!N303:S303</xm:f>
              <xm:sqref>T303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'top&amp;core医院客户DDD'!N304:S304</xm:f>
              <xm:sqref>T304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'top&amp;core医院客户DDD'!N305:S305</xm:f>
              <xm:sqref>T305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'top&amp;core医院客户DDD'!N306:S306</xm:f>
              <xm:sqref>T306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'top&amp;core医院客户DDD'!N307:S307</xm:f>
              <xm:sqref>T307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'top&amp;core医院客户DDD'!N308:S308</xm:f>
              <xm:sqref>T308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'top&amp;core医院客户DDD'!N309:S309</xm:f>
              <xm:sqref>T309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'top&amp;core医院客户DDD'!N310:S310</xm:f>
              <xm:sqref>T310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'top&amp;core医院客户DDD'!N311:S311</xm:f>
              <xm:sqref>T311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'top&amp;core医院客户DDD'!N312:S312</xm:f>
              <xm:sqref>T312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'top&amp;core医院客户DDD'!N313:S313</xm:f>
              <xm:sqref>T313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'top&amp;core医院客户DDD'!N314:S314</xm:f>
              <xm:sqref>T314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'top&amp;core医院客户DDD'!N315:S315</xm:f>
              <xm:sqref>T315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'top&amp;core医院客户DDD'!N316:S316</xm:f>
              <xm:sqref>T316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'top&amp;core医院客户DDD'!N317:S317</xm:f>
              <xm:sqref>T317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'top&amp;core医院客户DDD'!N318:S318</xm:f>
              <xm:sqref>T318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'top&amp;core医院客户DDD'!N319:S319</xm:f>
              <xm:sqref>T319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'top&amp;core医院客户DDD'!N320:S320</xm:f>
              <xm:sqref>T320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'top&amp;core医院客户DDD'!N321:S321</xm:f>
              <xm:sqref>T321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'top&amp;core医院客户DDD'!N322:S322</xm:f>
              <xm:sqref>T322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'top&amp;core医院客户DDD'!N323:S323</xm:f>
              <xm:sqref>T323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'top&amp;core医院客户DDD'!N324:S324</xm:f>
              <xm:sqref>T324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'top&amp;core医院客户DDD'!N325:S325</xm:f>
              <xm:sqref>T325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'top&amp;core医院客户DDD'!N326:S326</xm:f>
              <xm:sqref>T326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'top&amp;core医院客户DDD'!N327:S327</xm:f>
              <xm:sqref>T327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'top&amp;core医院客户DDD'!N328:S328</xm:f>
              <xm:sqref>T328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'top&amp;core医院客户DDD'!N329:S329</xm:f>
              <xm:sqref>T329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'top&amp;core医院客户DDD'!N330:S330</xm:f>
              <xm:sqref>T330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'top&amp;core医院客户DDD'!N331:S331</xm:f>
              <xm:sqref>T331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'top&amp;core医院客户DDD'!N332:S332</xm:f>
              <xm:sqref>T332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'top&amp;core医院客户DDD'!N333:S333</xm:f>
              <xm:sqref>T333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'top&amp;core医院客户DDD'!N334:S334</xm:f>
              <xm:sqref>T334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'top&amp;core医院客户DDD'!N335:S335</xm:f>
              <xm:sqref>T335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'top&amp;core医院客户DDD'!N336:S336</xm:f>
              <xm:sqref>T336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'top&amp;core医院客户DDD'!N337:S337</xm:f>
              <xm:sqref>T337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'top&amp;core医院客户DDD'!N338:S338</xm:f>
              <xm:sqref>T338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'top&amp;core医院客户DDD'!N339:S339</xm:f>
              <xm:sqref>T339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'top&amp;core医院客户DDD'!N340:S340</xm:f>
              <xm:sqref>T340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'top&amp;core医院客户DDD'!N341:S341</xm:f>
              <xm:sqref>T341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'top&amp;core医院客户DDD'!N342:S342</xm:f>
              <xm:sqref>T342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'top&amp;core医院客户DDD'!N343:S343</xm:f>
              <xm:sqref>T343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'top&amp;core医院客户DDD'!N344:S344</xm:f>
              <xm:sqref>T344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'top&amp;core医院客户DDD'!N345:S345</xm:f>
              <xm:sqref>T345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'top&amp;core医院客户DDD'!N346:S346</xm:f>
              <xm:sqref>T346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'top&amp;core医院客户DDD'!N347:S347</xm:f>
              <xm:sqref>T347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'top&amp;core医院客户DDD'!N348:S348</xm:f>
              <xm:sqref>T348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'top&amp;core医院客户DDD'!N349:S349</xm:f>
              <xm:sqref>T349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'top&amp;core医院客户DDD'!N350:S350</xm:f>
              <xm:sqref>T350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'top&amp;core医院客户DDD'!N351:S351</xm:f>
              <xm:sqref>T351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'top&amp;core医院客户DDD'!N352:S352</xm:f>
              <xm:sqref>T352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'top&amp;core医院客户DDD'!N353:S353</xm:f>
              <xm:sqref>T353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'top&amp;core医院客户DDD'!N354:S354</xm:f>
              <xm:sqref>T354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'top&amp;core医院客户DDD'!N355:S355</xm:f>
              <xm:sqref>T355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'top&amp;core医院客户DDD'!N356:S356</xm:f>
              <xm:sqref>T356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'top&amp;core医院客户DDD'!N357:S357</xm:f>
              <xm:sqref>T357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'top&amp;core医院客户DDD'!N358:S358</xm:f>
              <xm:sqref>T358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'top&amp;core医院客户DDD'!N359:S359</xm:f>
              <xm:sqref>T359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'top&amp;core医院客户DDD'!N360:S360</xm:f>
              <xm:sqref>T360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'top&amp;core医院客户DDD'!N361:S361</xm:f>
              <xm:sqref>T361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'top&amp;core医院客户DDD'!N362:S362</xm:f>
              <xm:sqref>T362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'top&amp;core医院客户DDD'!N363:S363</xm:f>
              <xm:sqref>T363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'top&amp;core医院客户DDD'!N364:S364</xm:f>
              <xm:sqref>T364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'top&amp;core医院客户DDD'!N365:S365</xm:f>
              <xm:sqref>T365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'top&amp;core医院客户DDD'!N366:S366</xm:f>
              <xm:sqref>T366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'top&amp;core医院客户DDD'!N367:S367</xm:f>
              <xm:sqref>T367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'top&amp;core医院客户DDD'!N368:S368</xm:f>
              <xm:sqref>T368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'top&amp;core医院客户DDD'!N369:S369</xm:f>
              <xm:sqref>T369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'top&amp;core医院客户DDD'!N370:S370</xm:f>
              <xm:sqref>T370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'top&amp;core医院客户DDD'!N371:S371</xm:f>
              <xm:sqref>T371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'top&amp;core医院客户DDD'!N372:S372</xm:f>
              <xm:sqref>T372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'top&amp;core医院客户DDD'!N373:S373</xm:f>
              <xm:sqref>T373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'top&amp;core医院客户DDD'!N374:S374</xm:f>
              <xm:sqref>T374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'top&amp;core医院客户DDD'!N375:S375</xm:f>
              <xm:sqref>T375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'top&amp;core医院客户DDD'!N376:S376</xm:f>
              <xm:sqref>T376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'top&amp;core医院客户DDD'!N377:S377</xm:f>
              <xm:sqref>T377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'top&amp;core医院客户DDD'!N378:S378</xm:f>
              <xm:sqref>T378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'top&amp;core医院客户DDD'!N379:S379</xm:f>
              <xm:sqref>T379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'top&amp;core医院客户DDD'!N380:S380</xm:f>
              <xm:sqref>T380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'top&amp;core医院客户DDD'!N381:S381</xm:f>
              <xm:sqref>T381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'top&amp;core医院客户DDD'!N382:S382</xm:f>
              <xm:sqref>T382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'top&amp;core医院客户DDD'!N383:S383</xm:f>
              <xm:sqref>T383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'top&amp;core医院客户DDD'!N384:S384</xm:f>
              <xm:sqref>T384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'top&amp;core医院客户DDD'!N385:S385</xm:f>
              <xm:sqref>T385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'top&amp;core医院客户DDD'!N386:S386</xm:f>
              <xm:sqref>T386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'top&amp;core医院客户DDD'!N387:S387</xm:f>
              <xm:sqref>T387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'top&amp;core医院客户DDD'!N388:S388</xm:f>
              <xm:sqref>T388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'top&amp;core医院客户DDD'!N389:S389</xm:f>
              <xm:sqref>T389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'top&amp;core医院客户DDD'!N390:S390</xm:f>
              <xm:sqref>T390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'top&amp;core医院客户DDD'!N391:S391</xm:f>
              <xm:sqref>T391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'top&amp;core医院客户DDD'!N392:S392</xm:f>
              <xm:sqref>T392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'top&amp;core医院客户DDD'!N393:S393</xm:f>
              <xm:sqref>T393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'top&amp;core医院客户DDD'!N394:S394</xm:f>
              <xm:sqref>T394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'top&amp;core医院客户DDD'!N395:S395</xm:f>
              <xm:sqref>T395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'top&amp;core医院客户DDD'!N396:S396</xm:f>
              <xm:sqref>T396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'top&amp;core医院客户DDD'!N397:S397</xm:f>
              <xm:sqref>T397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'top&amp;core医院客户DDD'!N398:S398</xm:f>
              <xm:sqref>T398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'top&amp;core医院客户DDD'!N399:S399</xm:f>
              <xm:sqref>T399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'top&amp;core医院客户DDD'!N400:S400</xm:f>
              <xm:sqref>T400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'top&amp;core医院客户DDD'!N401:S401</xm:f>
              <xm:sqref>T401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'top&amp;core医院客户DDD'!N402:S402</xm:f>
              <xm:sqref>T402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'top&amp;core医院客户DDD'!N403:S403</xm:f>
              <xm:sqref>T403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'top&amp;core医院客户DDD'!N404:S404</xm:f>
              <xm:sqref>T404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'top&amp;core医院客户DDD'!N405:S405</xm:f>
              <xm:sqref>T405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'top&amp;core医院客户DDD'!N406:S406</xm:f>
              <xm:sqref>T406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'top&amp;core医院客户DDD'!N407:S407</xm:f>
              <xm:sqref>T407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'top&amp;core医院客户DDD'!N408:S408</xm:f>
              <xm:sqref>T408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'top&amp;core医院客户DDD'!N409:S409</xm:f>
              <xm:sqref>T409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'top&amp;core医院客户DDD'!N410:S410</xm:f>
              <xm:sqref>T410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'top&amp;core医院客户DDD'!N411:S411</xm:f>
              <xm:sqref>T411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'top&amp;core医院客户DDD'!N412:S412</xm:f>
              <xm:sqref>T412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'top&amp;core医院客户DDD'!N413:S413</xm:f>
              <xm:sqref>T413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'top&amp;core医院客户DDD'!N414:S414</xm:f>
              <xm:sqref>T414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'top&amp;core医院客户DDD'!N415:S415</xm:f>
              <xm:sqref>T415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'top&amp;core医院客户DDD'!N416:S416</xm:f>
              <xm:sqref>T416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'top&amp;core医院客户DDD'!N417:S417</xm:f>
              <xm:sqref>T417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'top&amp;core医院客户DDD'!N418:S418</xm:f>
              <xm:sqref>T418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'top&amp;core医院客户DDD'!N419:S419</xm:f>
              <xm:sqref>T419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'top&amp;core医院客户DDD'!N420:S420</xm:f>
              <xm:sqref>T420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'top&amp;core医院客户DDD'!N421:S421</xm:f>
              <xm:sqref>T421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'top&amp;core医院客户DDD'!N422:S422</xm:f>
              <xm:sqref>T422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'top&amp;core医院客户DDD'!N423:S423</xm:f>
              <xm:sqref>T423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'top&amp;core医院客户DDD'!N424:S424</xm:f>
              <xm:sqref>T424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'top&amp;core医院客户DDD'!N425:S425</xm:f>
              <xm:sqref>T425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'top&amp;core医院客户DDD'!N426:S426</xm:f>
              <xm:sqref>T426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'top&amp;core医院客户DDD'!N427:S427</xm:f>
              <xm:sqref>T427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'top&amp;core医院客户DDD'!N428:S428</xm:f>
              <xm:sqref>T428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'top&amp;core医院客户DDD'!N429:S429</xm:f>
              <xm:sqref>T429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'top&amp;core医院客户DDD'!N430:S430</xm:f>
              <xm:sqref>T430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'top&amp;core医院客户DDD'!N431:S431</xm:f>
              <xm:sqref>T431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'top&amp;core医院客户DDD'!N432:S432</xm:f>
              <xm:sqref>T432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'top&amp;core医院客户DDD'!N433:S433</xm:f>
              <xm:sqref>T433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'top&amp;core医院客户DDD'!N434:S434</xm:f>
              <xm:sqref>T434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'top&amp;core医院客户DDD'!N435:S435</xm:f>
              <xm:sqref>T435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'top&amp;core医院客户DDD'!N436:S436</xm:f>
              <xm:sqref>T436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'top&amp;core医院客户DDD'!N437:S437</xm:f>
              <xm:sqref>T437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'top&amp;core医院客户DDD'!N438:S438</xm:f>
              <xm:sqref>T438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'top&amp;core医院客户DDD'!N439:S439</xm:f>
              <xm:sqref>T439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'top&amp;core医院客户DDD'!N440:S440</xm:f>
              <xm:sqref>T440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'top&amp;core医院客户DDD'!N441:S441</xm:f>
              <xm:sqref>T441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'top&amp;core医院客户DDD'!N442:S442</xm:f>
              <xm:sqref>T442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'top&amp;core医院客户DDD'!N443:S443</xm:f>
              <xm:sqref>T443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'top&amp;core医院客户DDD'!N444:S444</xm:f>
              <xm:sqref>T444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'top&amp;core医院客户DDD'!N445:S445</xm:f>
              <xm:sqref>T445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'top&amp;core医院客户DDD'!N446:S446</xm:f>
              <xm:sqref>T446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'top&amp;core医院客户DDD'!N447:S447</xm:f>
              <xm:sqref>T447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'top&amp;core医院客户DDD'!N448:S448</xm:f>
              <xm:sqref>T448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'top&amp;core医院客户DDD'!N449:S449</xm:f>
              <xm:sqref>T449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'top&amp;core医院客户DDD'!N450:S450</xm:f>
              <xm:sqref>T450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'top&amp;core医院客户DDD'!N451:S451</xm:f>
              <xm:sqref>T451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'top&amp;core医院客户DDD'!N452:S452</xm:f>
              <xm:sqref>T452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'top&amp;core医院客户DDD'!N453:S453</xm:f>
              <xm:sqref>T453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'top&amp;core医院客户DDD'!N454:S454</xm:f>
              <xm:sqref>T454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'top&amp;core医院客户DDD'!N455:S455</xm:f>
              <xm:sqref>T455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'top&amp;core医院客户DDD'!N456:S456</xm:f>
              <xm:sqref>T456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'top&amp;core医院客户DDD'!N457:S457</xm:f>
              <xm:sqref>T457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'top&amp;core医院客户DDD'!N458:S458</xm:f>
              <xm:sqref>T458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'top&amp;core医院客户DDD'!N459:S459</xm:f>
              <xm:sqref>T459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'top&amp;core医院客户DDD'!N460:S460</xm:f>
              <xm:sqref>T460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'top&amp;core医院客户DDD'!N461:S461</xm:f>
              <xm:sqref>T461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'top&amp;core医院客户DDD'!N462:S462</xm:f>
              <xm:sqref>T462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'top&amp;core医院客户DDD'!N463:S463</xm:f>
              <xm:sqref>T463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'top&amp;core医院客户DDD'!N464:S464</xm:f>
              <xm:sqref>T464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'top&amp;core医院客户DDD'!N465:S465</xm:f>
              <xm:sqref>T465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'top&amp;core医院客户DDD'!N466:S466</xm:f>
              <xm:sqref>T466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'top&amp;core医院客户DDD'!N467:S467</xm:f>
              <xm:sqref>T467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'top&amp;core医院客户DDD'!N468:S468</xm:f>
              <xm:sqref>T468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'top&amp;core医院客户DDD'!N469:S469</xm:f>
              <xm:sqref>T469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'top&amp;core医院客户DDD'!N470:S470</xm:f>
              <xm:sqref>T470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'top&amp;core医院客户DDD'!N471:S471</xm:f>
              <xm:sqref>T471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'top&amp;core医院客户DDD'!N472:S472</xm:f>
              <xm:sqref>T472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'top&amp;core医院客户DDD'!N473:S473</xm:f>
              <xm:sqref>T473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'top&amp;core医院客户DDD'!N474:S474</xm:f>
              <xm:sqref>T474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'top&amp;core医院客户DDD'!N475:S475</xm:f>
              <xm:sqref>T475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'top&amp;core医院客户DDD'!N476:S476</xm:f>
              <xm:sqref>T476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'top&amp;core医院客户DDD'!N477:S477</xm:f>
              <xm:sqref>T477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'top&amp;core医院客户DDD'!N478:S478</xm:f>
              <xm:sqref>T478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'top&amp;core医院客户DDD'!N479:S479</xm:f>
              <xm:sqref>T479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'top&amp;core医院客户DDD'!N480:S480</xm:f>
              <xm:sqref>T480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'top&amp;core医院客户DDD'!N481:S481</xm:f>
              <xm:sqref>T481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'top&amp;core医院客户DDD'!N482:S482</xm:f>
              <xm:sqref>T482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'top&amp;core医院客户DDD'!N483:S483</xm:f>
              <xm:sqref>T483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'top&amp;core医院客户DDD'!N484:S484</xm:f>
              <xm:sqref>T484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'top&amp;core医院客户DDD'!N485:S485</xm:f>
              <xm:sqref>T485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'top&amp;core医院客户DDD'!N486:S486</xm:f>
              <xm:sqref>T486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'top&amp;core医院客户DDD'!N487:S487</xm:f>
              <xm:sqref>T487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'top&amp;core医院客户DDD'!N488:S488</xm:f>
              <xm:sqref>T488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'top&amp;core医院客户DDD'!N489:S489</xm:f>
              <xm:sqref>T489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'top&amp;core医院客户DDD'!N490:S490</xm:f>
              <xm:sqref>T490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'top&amp;core医院客户DDD'!N491:S491</xm:f>
              <xm:sqref>T491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'top&amp;core医院客户DDD'!N492:S492</xm:f>
              <xm:sqref>T492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'top&amp;core医院客户DDD'!N493:S493</xm:f>
              <xm:sqref>T493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'top&amp;core医院客户DDD'!N494:S494</xm:f>
              <xm:sqref>T494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'top&amp;core医院客户DDD'!N495:S495</xm:f>
              <xm:sqref>T495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'top&amp;core医院客户DDD'!N496:S496</xm:f>
              <xm:sqref>T496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'top&amp;core医院客户DDD'!N497:S497</xm:f>
              <xm:sqref>T497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'top&amp;core医院客户DDD'!N498:S498</xm:f>
              <xm:sqref>T498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'top&amp;core医院客户DDD'!N499:S499</xm:f>
              <xm:sqref>T499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'top&amp;core医院客户DDD'!N500:S500</xm:f>
              <xm:sqref>T500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'top&amp;core医院客户DDD'!N501:S501</xm:f>
              <xm:sqref>T501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'top&amp;core医院客户DDD'!N502:S502</xm:f>
              <xm:sqref>T502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'top&amp;core医院客户DDD'!N503:S503</xm:f>
              <xm:sqref>T503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'top&amp;core医院客户DDD'!N504:S504</xm:f>
              <xm:sqref>T504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'top&amp;core医院客户DDD'!N505:S505</xm:f>
              <xm:sqref>T505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'top&amp;core医院客户DDD'!N506:S506</xm:f>
              <xm:sqref>T506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'top&amp;core医院客户DDD'!N507:S507</xm:f>
              <xm:sqref>T507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'top&amp;core医院客户DDD'!N508:S508</xm:f>
              <xm:sqref>T508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'top&amp;core医院客户DDD'!N509:S509</xm:f>
              <xm:sqref>T509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'top&amp;core医院客户DDD'!N510:S510</xm:f>
              <xm:sqref>T510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'top&amp;core医院客户DDD'!N511:S511</xm:f>
              <xm:sqref>T511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'top&amp;core医院客户DDD'!N512:S512</xm:f>
              <xm:sqref>T512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'top&amp;core医院客户DDD'!N513:S513</xm:f>
              <xm:sqref>T513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'top&amp;core医院客户DDD'!N514:S514</xm:f>
              <xm:sqref>T514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'top&amp;core医院客户DDD'!N515:S515</xm:f>
              <xm:sqref>T515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'top&amp;core医院客户DDD'!N516:S516</xm:f>
              <xm:sqref>T516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'top&amp;core医院客户DDD'!N517:S517</xm:f>
              <xm:sqref>T517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'top&amp;core医院客户DDD'!N518:S518</xm:f>
              <xm:sqref>T518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'top&amp;core医院客户DDD'!N519:S519</xm:f>
              <xm:sqref>T519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'top&amp;core医院客户DDD'!N520:S520</xm:f>
              <xm:sqref>T520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'top&amp;core医院客户DDD'!N521:S521</xm:f>
              <xm:sqref>T521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'top&amp;core医院客户DDD'!N522:S522</xm:f>
              <xm:sqref>T522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'top&amp;core医院客户DDD'!N523:S523</xm:f>
              <xm:sqref>T523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'top&amp;core医院客户DDD'!N524:S524</xm:f>
              <xm:sqref>T524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'top&amp;core医院客户DDD'!N525:S525</xm:f>
              <xm:sqref>T525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'top&amp;core医院客户DDD'!N526:S526</xm:f>
              <xm:sqref>T526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'top&amp;core医院客户DDD'!N527:S527</xm:f>
              <xm:sqref>T527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'top&amp;core医院客户DDD'!N528:S528</xm:f>
              <xm:sqref>T528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'top&amp;core医院客户DDD'!N529:S529</xm:f>
              <xm:sqref>T529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'top&amp;core医院客户DDD'!N530:S530</xm:f>
              <xm:sqref>T530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'top&amp;core医院客户DDD'!N531:S531</xm:f>
              <xm:sqref>T531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'top&amp;core医院客户DDD'!N532:S532</xm:f>
              <xm:sqref>T532</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'top&amp;core医院客户DDD'!N533:S533</xm:f>
              <xm:sqref>T533</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'top&amp;core医院客户DDD'!N534:S534</xm:f>
              <xm:sqref>T534</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'top&amp;core医院客户DDD'!N535:S535</xm:f>
              <xm:sqref>T535</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'top&amp;core医院客户DDD'!N536:S536</xm:f>
              <xm:sqref>T536</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'top&amp;core医院客户DDD'!N537:S537</xm:f>
              <xm:sqref>T537</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'top&amp;core医院客户DDD'!N538:S538</xm:f>
              <xm:sqref>T538</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'top&amp;core医院客户DDD'!N539:S539</xm:f>
              <xm:sqref>T539</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'top&amp;core医院客户DDD'!N540:S540</xm:f>
              <xm:sqref>T540</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'top&amp;core医院客户DDD'!N541:S541</xm:f>
              <xm:sqref>T541</xm:sqref>
            </x14:sparkline>
          </x14:sparklines>
        </x14:sparklineGroup>
        <x14:sparklineGroup lineWeight="1" type="line" displayEmptyCellsAs="gap" markers="1" displayXAxis="1">
          <x14:colorSeries rgb="FF4472C4"/>
          <x14:colorNegative indexed="65"/>
          <x14:colorAxis indexed="65"/>
          <x14:colorMarkers rgb="FFC00000"/>
          <x14:colorFirst indexed="65"/>
          <x14:colorLast indexed="65"/>
          <x14:colorHigh indexed="65"/>
          <x14:colorLow indexed="65"/>
          <x14:sparklines>
            <x14:sparkline>
              <xm:f>'top&amp;core医院客户DDD'!N542:S542</xm:f>
              <xm:sqref>T542</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top&amp;core医院DDD</vt:lpstr>
      <vt:lpstr>top&amp;core医院客户DDD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张云。</cp:lastModifiedBy>
  <dcterms:created xsi:type="dcterms:W3CDTF">2026-08-28T22:46:44Z</dcterms:created>
  <dcterms:modified xsi:type="dcterms:W3CDTF">2026-08-28T22:50:59Z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9AF514E78D7B6E65FF9F916A8B5AE9E5_42</vt:lpwstr>
  </property>
  <property fmtid="{D5CDD505-2E9C-101B-9397-08002B2CF9AE}" pid="3" name="KSOProductBuildVer">
    <vt:lpwstr>2052-12.1.25895.25895</vt:lpwstr>
  </property>
  <property fmtid="{D5CDD505-2E9C-101B-9397-08002B2CF9AE}" pid="4" name="CalculationRule">
    <vt:i4>0</vt:i4>
  </property>
</Properties>
</file>